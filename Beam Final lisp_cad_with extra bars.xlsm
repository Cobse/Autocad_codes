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filterPrivacy="1" codeName="ThisWorkbook" defaultThemeVersion="124226"/>
  <xr:revisionPtr revIDLastSave="0" documentId="10_ncr:100000_{4459E07D-0505-4DAA-8E12-9BC154B21E72}" xr6:coauthVersionLast="31" xr6:coauthVersionMax="31" xr10:uidLastSave="{00000000-0000-0000-0000-000000000000}"/>
  <bookViews>
    <workbookView xWindow="360" yWindow="315" windowWidth="18735" windowHeight="7110" tabRatio="290" xr2:uid="{00000000-000D-0000-FFFF-FFFF00000000}"/>
  </bookViews>
  <sheets>
    <sheet name="Lisp cad" sheetId="6" r:id="rId1"/>
  </sheets>
  <definedNames>
    <definedName name="_xlnm._FilterDatabase" localSheetId="0" hidden="1">'Lisp cad'!$U$2:$U$560</definedName>
  </definedNames>
  <calcPr calcId="179017"/>
</workbook>
</file>

<file path=xl/calcChain.xml><?xml version="1.0" encoding="utf-8"?>
<calcChain xmlns="http://schemas.openxmlformats.org/spreadsheetml/2006/main">
  <c r="V22" i="6" l="1"/>
  <c r="G51" i="6"/>
  <c r="U95" i="6" l="1"/>
  <c r="AG95" i="6" s="1"/>
  <c r="U93" i="6"/>
  <c r="AG93" i="6" s="1"/>
  <c r="U99" i="6"/>
  <c r="AG99" i="6" s="1"/>
  <c r="U102" i="6"/>
  <c r="AG102" i="6" s="1"/>
  <c r="U87" i="6"/>
  <c r="U97" i="6"/>
  <c r="AG97" i="6" s="1"/>
  <c r="U78" i="6"/>
  <c r="B536" i="6" l="1"/>
  <c r="U547" i="6"/>
  <c r="AG547" i="6" s="1"/>
  <c r="U543" i="6"/>
  <c r="AG543" i="6" s="1"/>
  <c r="U537" i="6"/>
  <c r="AG537" i="6" s="1"/>
  <c r="U501" i="6"/>
  <c r="AG501" i="6" s="1"/>
  <c r="U497" i="6"/>
  <c r="AG497" i="6" s="1"/>
  <c r="U491" i="6"/>
  <c r="AG491" i="6" s="1"/>
  <c r="U455" i="6"/>
  <c r="AG455" i="6" s="1"/>
  <c r="U451" i="6"/>
  <c r="AG451" i="6" s="1"/>
  <c r="U445" i="6"/>
  <c r="AG445" i="6" s="1"/>
  <c r="U409" i="6"/>
  <c r="AG409" i="6" s="1"/>
  <c r="U405" i="6"/>
  <c r="AG405" i="6" s="1"/>
  <c r="U399" i="6"/>
  <c r="AG399" i="6" s="1"/>
  <c r="U363" i="6"/>
  <c r="AG363" i="6" s="1"/>
  <c r="U359" i="6"/>
  <c r="AG359" i="6" s="1"/>
  <c r="U353" i="6"/>
  <c r="AG353" i="6" s="1"/>
  <c r="U317" i="6"/>
  <c r="AG317" i="6" s="1"/>
  <c r="U313" i="6"/>
  <c r="AG313" i="6" s="1"/>
  <c r="U307" i="6"/>
  <c r="AG307" i="6" s="1"/>
  <c r="U270" i="6"/>
  <c r="AG270" i="6" s="1"/>
  <c r="U266" i="6"/>
  <c r="AG266" i="6" s="1"/>
  <c r="U260" i="6"/>
  <c r="AG260" i="6" s="1"/>
  <c r="B213" i="6"/>
  <c r="B167" i="6"/>
  <c r="B169" i="6" s="1"/>
  <c r="U224" i="6"/>
  <c r="AG224" i="6" s="1"/>
  <c r="U220" i="6"/>
  <c r="AG220" i="6" s="1"/>
  <c r="U214" i="6"/>
  <c r="AG214" i="6" s="1"/>
  <c r="U178" i="6"/>
  <c r="AG178" i="6" s="1"/>
  <c r="U174" i="6"/>
  <c r="AG174" i="6" s="1"/>
  <c r="U168" i="6"/>
  <c r="AG168" i="6" s="1"/>
  <c r="B352" i="6"/>
  <c r="B306" i="6"/>
  <c r="B259" i="6"/>
  <c r="B261" i="6" s="1"/>
  <c r="E117" i="6" l="1"/>
  <c r="E94" i="6"/>
  <c r="B538" i="6"/>
  <c r="B537" i="6"/>
  <c r="B490" i="6"/>
  <c r="B492" i="6" s="1"/>
  <c r="B444" i="6"/>
  <c r="B446" i="6" s="1"/>
  <c r="B398" i="6"/>
  <c r="B260" i="6"/>
  <c r="B168" i="6"/>
  <c r="B445" i="6" l="1"/>
  <c r="B491" i="6"/>
  <c r="B400" i="6"/>
  <c r="B399" i="6"/>
  <c r="B354" i="6"/>
  <c r="B353" i="6"/>
  <c r="B308" i="6"/>
  <c r="B307" i="6"/>
  <c r="U136" i="6"/>
  <c r="U127" i="6"/>
  <c r="U54" i="6"/>
  <c r="AG54" i="6" s="1"/>
  <c r="B77" i="6"/>
  <c r="B79" i="6" s="1"/>
  <c r="W202" i="6"/>
  <c r="W156" i="6"/>
  <c r="W131" i="6"/>
  <c r="G80" i="6"/>
  <c r="G96" i="6" s="1"/>
  <c r="U83" i="6"/>
  <c r="AG83" i="6" s="1"/>
  <c r="U107" i="6"/>
  <c r="AG107" i="6" s="1"/>
  <c r="E95" i="6" l="1"/>
  <c r="B78" i="6"/>
  <c r="E78" i="6" s="1"/>
  <c r="AG78" i="6"/>
  <c r="G81" i="6"/>
  <c r="E80" i="6"/>
  <c r="H80" i="6" s="1"/>
  <c r="G78" i="6"/>
  <c r="G35" i="6"/>
  <c r="U62" i="6"/>
  <c r="U50" i="6"/>
  <c r="U46" i="6"/>
  <c r="C152" i="6"/>
  <c r="C151" i="6"/>
  <c r="M6" i="6"/>
  <c r="G491" i="6" l="1"/>
  <c r="G492" i="6" s="1"/>
  <c r="G497" i="6" s="1"/>
  <c r="G498" i="6" s="1"/>
  <c r="G537" i="6"/>
  <c r="G538" i="6" s="1"/>
  <c r="G543" i="6" s="1"/>
  <c r="G544" i="6" s="1"/>
  <c r="G399" i="6"/>
  <c r="G400" i="6" s="1"/>
  <c r="G405" i="6" s="1"/>
  <c r="G406" i="6" s="1"/>
  <c r="G445" i="6"/>
  <c r="G446" i="6" s="1"/>
  <c r="G451" i="6" s="1"/>
  <c r="G452" i="6" s="1"/>
  <c r="G353" i="6"/>
  <c r="G354" i="6" s="1"/>
  <c r="G359" i="6" s="1"/>
  <c r="G360" i="6" s="1"/>
  <c r="G260" i="6"/>
  <c r="G261" i="6" s="1"/>
  <c r="G266" i="6" s="1"/>
  <c r="G267" i="6" s="1"/>
  <c r="G307" i="6"/>
  <c r="G308" i="6" s="1"/>
  <c r="G313" i="6" s="1"/>
  <c r="G314" i="6" s="1"/>
  <c r="G214" i="6"/>
  <c r="G215" i="6" s="1"/>
  <c r="G220" i="6" s="1"/>
  <c r="G221" i="6" s="1"/>
  <c r="G168" i="6"/>
  <c r="G169" i="6" s="1"/>
  <c r="G174" i="6" s="1"/>
  <c r="G175" i="6" s="1"/>
  <c r="G82" i="6"/>
  <c r="G94" i="6" s="1"/>
  <c r="G97" i="6"/>
  <c r="H78" i="6"/>
  <c r="G83" i="6"/>
  <c r="G79" i="6"/>
  <c r="E81" i="6"/>
  <c r="H81" i="6" s="1"/>
  <c r="AG136" i="6"/>
  <c r="G558" i="6"/>
  <c r="E558" i="6"/>
  <c r="G525" i="6"/>
  <c r="G526" i="6" s="1"/>
  <c r="G527" i="6" s="1"/>
  <c r="G524" i="6"/>
  <c r="G521" i="6"/>
  <c r="G529" i="6" s="1"/>
  <c r="G531" i="6" s="1"/>
  <c r="G518" i="6"/>
  <c r="G528" i="6" s="1"/>
  <c r="G530" i="6" s="1"/>
  <c r="U517" i="6"/>
  <c r="AG517" i="6" s="1"/>
  <c r="G514" i="6"/>
  <c r="G515" i="6" s="1"/>
  <c r="G513" i="6"/>
  <c r="G516" i="6" s="1"/>
  <c r="U510" i="6"/>
  <c r="AG510" i="6" s="1"/>
  <c r="G510" i="6"/>
  <c r="G511" i="6" s="1"/>
  <c r="G509" i="6"/>
  <c r="G512" i="6" s="1"/>
  <c r="G479" i="6"/>
  <c r="G480" i="6" s="1"/>
  <c r="G481" i="6" s="1"/>
  <c r="G478" i="6"/>
  <c r="G475" i="6"/>
  <c r="G483" i="6" s="1"/>
  <c r="G485" i="6" s="1"/>
  <c r="G472" i="6"/>
  <c r="G482" i="6" s="1"/>
  <c r="G484" i="6" s="1"/>
  <c r="U471" i="6"/>
  <c r="AG471" i="6" s="1"/>
  <c r="G468" i="6"/>
  <c r="G469" i="6" s="1"/>
  <c r="G467" i="6"/>
  <c r="G470" i="6" s="1"/>
  <c r="U464" i="6"/>
  <c r="AG464" i="6" s="1"/>
  <c r="G464" i="6"/>
  <c r="G465" i="6" s="1"/>
  <c r="G463" i="6"/>
  <c r="G466" i="6" s="1"/>
  <c r="G433" i="6"/>
  <c r="G434" i="6" s="1"/>
  <c r="G435" i="6" s="1"/>
  <c r="G432" i="6"/>
  <c r="G429" i="6"/>
  <c r="G437" i="6" s="1"/>
  <c r="G439" i="6" s="1"/>
  <c r="G426" i="6"/>
  <c r="G436" i="6" s="1"/>
  <c r="G438" i="6" s="1"/>
  <c r="U425" i="6"/>
  <c r="AG425" i="6" s="1"/>
  <c r="G422" i="6"/>
  <c r="G423" i="6" s="1"/>
  <c r="G421" i="6"/>
  <c r="G424" i="6" s="1"/>
  <c r="U418" i="6"/>
  <c r="AG418" i="6" s="1"/>
  <c r="G418" i="6"/>
  <c r="G419" i="6" s="1"/>
  <c r="G417" i="6"/>
  <c r="G420" i="6" s="1"/>
  <c r="G387" i="6"/>
  <c r="G388" i="6" s="1"/>
  <c r="G389" i="6" s="1"/>
  <c r="G386" i="6"/>
  <c r="G383" i="6"/>
  <c r="G391" i="6" s="1"/>
  <c r="G393" i="6" s="1"/>
  <c r="G380" i="6"/>
  <c r="G390" i="6" s="1"/>
  <c r="G392" i="6" s="1"/>
  <c r="U379" i="6"/>
  <c r="AG379" i="6" s="1"/>
  <c r="G376" i="6"/>
  <c r="G377" i="6" s="1"/>
  <c r="G375" i="6"/>
  <c r="G378" i="6" s="1"/>
  <c r="U372" i="6"/>
  <c r="AG372" i="6" s="1"/>
  <c r="G372" i="6"/>
  <c r="G373" i="6" s="1"/>
  <c r="G371" i="6"/>
  <c r="G374" i="6" s="1"/>
  <c r="G341" i="6"/>
  <c r="G342" i="6" s="1"/>
  <c r="G343" i="6" s="1"/>
  <c r="G340" i="6"/>
  <c r="G337" i="6"/>
  <c r="G345" i="6" s="1"/>
  <c r="G347" i="6" s="1"/>
  <c r="G334" i="6"/>
  <c r="G344" i="6" s="1"/>
  <c r="G346" i="6" s="1"/>
  <c r="U333" i="6"/>
  <c r="AG333" i="6" s="1"/>
  <c r="G330" i="6"/>
  <c r="G331" i="6" s="1"/>
  <c r="G329" i="6"/>
  <c r="G332" i="6" s="1"/>
  <c r="U326" i="6"/>
  <c r="AG326" i="6" s="1"/>
  <c r="G326" i="6"/>
  <c r="G327" i="6" s="1"/>
  <c r="G325" i="6"/>
  <c r="G328" i="6" s="1"/>
  <c r="G295" i="6"/>
  <c r="G296" i="6" s="1"/>
  <c r="G297" i="6" s="1"/>
  <c r="G294" i="6"/>
  <c r="G291" i="6"/>
  <c r="G299" i="6" s="1"/>
  <c r="G301" i="6" s="1"/>
  <c r="G288" i="6"/>
  <c r="G298" i="6" s="1"/>
  <c r="G300" i="6" s="1"/>
  <c r="U287" i="6"/>
  <c r="AG287" i="6" s="1"/>
  <c r="G284" i="6"/>
  <c r="G285" i="6" s="1"/>
  <c r="G283" i="6"/>
  <c r="G286" i="6" s="1"/>
  <c r="U280" i="6"/>
  <c r="AG280" i="6" s="1"/>
  <c r="G280" i="6"/>
  <c r="G281" i="6" s="1"/>
  <c r="G279" i="6"/>
  <c r="G282" i="6" s="1"/>
  <c r="G248" i="6"/>
  <c r="G249" i="6" s="1"/>
  <c r="G250" i="6" s="1"/>
  <c r="G247" i="6"/>
  <c r="G244" i="6"/>
  <c r="G252" i="6" s="1"/>
  <c r="G254" i="6" s="1"/>
  <c r="G241" i="6"/>
  <c r="G251" i="6" s="1"/>
  <c r="G253" i="6" s="1"/>
  <c r="U240" i="6"/>
  <c r="AG240" i="6" s="1"/>
  <c r="G237" i="6"/>
  <c r="G238" i="6" s="1"/>
  <c r="G236" i="6"/>
  <c r="G239" i="6" s="1"/>
  <c r="U233" i="6"/>
  <c r="AG233" i="6" s="1"/>
  <c r="G233" i="6"/>
  <c r="G234" i="6" s="1"/>
  <c r="G232" i="6"/>
  <c r="G235" i="6" s="1"/>
  <c r="G202" i="6"/>
  <c r="G203" i="6" s="1"/>
  <c r="G204" i="6" s="1"/>
  <c r="G201" i="6"/>
  <c r="G198" i="6"/>
  <c r="G206" i="6" s="1"/>
  <c r="G208" i="6" s="1"/>
  <c r="G195" i="6"/>
  <c r="G205" i="6" s="1"/>
  <c r="G207" i="6" s="1"/>
  <c r="U194" i="6"/>
  <c r="AG194" i="6" s="1"/>
  <c r="G191" i="6"/>
  <c r="G192" i="6" s="1"/>
  <c r="G190" i="6"/>
  <c r="G193" i="6" s="1"/>
  <c r="U187" i="6"/>
  <c r="AG187" i="6" s="1"/>
  <c r="G187" i="6"/>
  <c r="G188" i="6" s="1"/>
  <c r="G186" i="6"/>
  <c r="G189" i="6" s="1"/>
  <c r="D186" i="6"/>
  <c r="G156" i="6"/>
  <c r="G157" i="6" s="1"/>
  <c r="G158" i="6" s="1"/>
  <c r="G155" i="6"/>
  <c r="A153" i="6"/>
  <c r="G152" i="6"/>
  <c r="G160" i="6" s="1"/>
  <c r="G162" i="6" s="1"/>
  <c r="A152" i="6"/>
  <c r="G149" i="6"/>
  <c r="G159" i="6" s="1"/>
  <c r="G161" i="6" s="1"/>
  <c r="U148" i="6"/>
  <c r="AG148" i="6" s="1"/>
  <c r="G145" i="6"/>
  <c r="G146" i="6" s="1"/>
  <c r="G144" i="6"/>
  <c r="G147" i="6" s="1"/>
  <c r="U141" i="6"/>
  <c r="AG141" i="6" s="1"/>
  <c r="G141" i="6"/>
  <c r="G142" i="6" s="1"/>
  <c r="G140" i="6"/>
  <c r="G143" i="6" s="1"/>
  <c r="G117" i="6"/>
  <c r="G118" i="6" s="1"/>
  <c r="E118" i="6"/>
  <c r="U116" i="6"/>
  <c r="AG116" i="6" s="1"/>
  <c r="E110" i="6"/>
  <c r="G71" i="6"/>
  <c r="G111" i="6" s="1"/>
  <c r="U68" i="6"/>
  <c r="AG68" i="6" s="1"/>
  <c r="G68" i="6"/>
  <c r="G69" i="6" s="1"/>
  <c r="G67" i="6"/>
  <c r="G70" i="6" s="1"/>
  <c r="G130" i="6" s="1"/>
  <c r="G131" i="6" s="1"/>
  <c r="G132" i="6" s="1"/>
  <c r="E67" i="6"/>
  <c r="E129" i="6" s="1"/>
  <c r="AG62" i="6"/>
  <c r="U58" i="6"/>
  <c r="AG58" i="6" s="1"/>
  <c r="G52" i="6"/>
  <c r="G64" i="6" s="1"/>
  <c r="G63" i="6"/>
  <c r="AG50" i="6"/>
  <c r="G49" i="6"/>
  <c r="G61" i="6" s="1"/>
  <c r="E49" i="6"/>
  <c r="E55" i="6" s="1"/>
  <c r="G48" i="6"/>
  <c r="G60" i="6" s="1"/>
  <c r="E48" i="6"/>
  <c r="AG46" i="6"/>
  <c r="G45" i="6"/>
  <c r="G57" i="6" s="1"/>
  <c r="G40" i="6"/>
  <c r="G41" i="6" s="1"/>
  <c r="G39" i="6"/>
  <c r="G42" i="6" s="1"/>
  <c r="G36" i="6"/>
  <c r="G46" i="6" s="1"/>
  <c r="G58" i="6" s="1"/>
  <c r="G38" i="6"/>
  <c r="E35" i="6"/>
  <c r="E36" i="6" s="1"/>
  <c r="U34" i="6"/>
  <c r="AG34" i="6" s="1"/>
  <c r="U31" i="6"/>
  <c r="AG31" i="6" s="1"/>
  <c r="U27" i="6"/>
  <c r="AG27" i="6" s="1"/>
  <c r="U17" i="6"/>
  <c r="O16" i="6"/>
  <c r="O15" i="6"/>
  <c r="O14" i="6"/>
  <c r="O13" i="6"/>
  <c r="O12" i="6"/>
  <c r="O11" i="6"/>
  <c r="O10" i="6"/>
  <c r="O9" i="6"/>
  <c r="O8" i="6"/>
  <c r="O7" i="6"/>
  <c r="E79" i="6" s="1"/>
  <c r="B80" i="6" s="1"/>
  <c r="E83" i="6" s="1"/>
  <c r="E84" i="6" s="1"/>
  <c r="E85" i="6" s="1"/>
  <c r="G7" i="6"/>
  <c r="G119" i="6" l="1"/>
  <c r="G89" i="6"/>
  <c r="G95" i="6"/>
  <c r="H95" i="6" s="1"/>
  <c r="H94" i="6"/>
  <c r="G493" i="6"/>
  <c r="G494" i="6" s="1"/>
  <c r="G495" i="6" s="1"/>
  <c r="G539" i="6"/>
  <c r="G540" i="6" s="1"/>
  <c r="G496" i="6"/>
  <c r="G501" i="6" s="1"/>
  <c r="G502" i="6" s="1"/>
  <c r="G401" i="6"/>
  <c r="G402" i="6" s="1"/>
  <c r="G403" i="6" s="1"/>
  <c r="G447" i="6"/>
  <c r="G448" i="6" s="1"/>
  <c r="G355" i="6"/>
  <c r="G356" i="6" s="1"/>
  <c r="G357" i="6" s="1"/>
  <c r="G262" i="6"/>
  <c r="G263" i="6" s="1"/>
  <c r="G264" i="6" s="1"/>
  <c r="G309" i="6"/>
  <c r="G310" i="6" s="1"/>
  <c r="E170" i="6"/>
  <c r="E168" i="6"/>
  <c r="G265" i="6"/>
  <c r="G270" i="6" s="1"/>
  <c r="G271" i="6" s="1"/>
  <c r="E82" i="6"/>
  <c r="H82" i="6" s="1"/>
  <c r="U81" i="6" s="1"/>
  <c r="AG81" i="6" s="1"/>
  <c r="G216" i="6"/>
  <c r="G217" i="6" s="1"/>
  <c r="G170" i="6"/>
  <c r="G171" i="6" s="1"/>
  <c r="E86" i="6"/>
  <c r="E91" i="6" s="1"/>
  <c r="B150" i="6"/>
  <c r="B151" i="6" s="1"/>
  <c r="G87" i="6"/>
  <c r="G88" i="6" s="1"/>
  <c r="G98" i="6"/>
  <c r="G99" i="6" s="1"/>
  <c r="G100" i="6" s="1"/>
  <c r="G124" i="6"/>
  <c r="C197" i="6"/>
  <c r="C198" i="6"/>
  <c r="H79" i="6"/>
  <c r="G84" i="6"/>
  <c r="H84" i="6" s="1"/>
  <c r="H83" i="6"/>
  <c r="H48" i="6"/>
  <c r="G120" i="6"/>
  <c r="H558" i="6"/>
  <c r="U558" i="6" s="1"/>
  <c r="AG558" i="6" s="1"/>
  <c r="H36" i="6"/>
  <c r="E121" i="6"/>
  <c r="E119" i="6"/>
  <c r="H118" i="6"/>
  <c r="G113" i="6"/>
  <c r="G8" i="6"/>
  <c r="H35" i="6"/>
  <c r="E39" i="6"/>
  <c r="E45" i="6"/>
  <c r="H49" i="6"/>
  <c r="E54" i="6"/>
  <c r="G55" i="6"/>
  <c r="H55" i="6" s="1"/>
  <c r="H67" i="6"/>
  <c r="E71" i="6"/>
  <c r="H71" i="6" s="1"/>
  <c r="G110" i="6"/>
  <c r="E111" i="6"/>
  <c r="H111" i="6" s="1"/>
  <c r="H117" i="6"/>
  <c r="E120" i="6"/>
  <c r="G129" i="6"/>
  <c r="H129" i="6" s="1"/>
  <c r="G150" i="6"/>
  <c r="G151" i="6" s="1"/>
  <c r="A199" i="6"/>
  <c r="G199" i="6"/>
  <c r="G200" i="6" s="1"/>
  <c r="G222" i="6" s="1"/>
  <c r="G223" i="6" s="1"/>
  <c r="G228" i="6" s="1"/>
  <c r="D232" i="6"/>
  <c r="U264" i="6" s="1"/>
  <c r="G242" i="6"/>
  <c r="G243" i="6" s="1"/>
  <c r="G37" i="6"/>
  <c r="G54" i="6"/>
  <c r="E68" i="6"/>
  <c r="G72" i="6"/>
  <c r="G73" i="6" s="1"/>
  <c r="G74" i="6"/>
  <c r="G153" i="6"/>
  <c r="G196" i="6"/>
  <c r="G197" i="6" s="1"/>
  <c r="G226" i="6" s="1"/>
  <c r="G227" i="6" s="1"/>
  <c r="G229" i="6" s="1"/>
  <c r="A198" i="6"/>
  <c r="G245" i="6"/>
  <c r="G246" i="6" s="1"/>
  <c r="G292" i="6"/>
  <c r="G293" i="6" s="1"/>
  <c r="G335" i="6"/>
  <c r="G336" i="6" s="1"/>
  <c r="G384" i="6"/>
  <c r="G427" i="6"/>
  <c r="G428" i="6" s="1"/>
  <c r="G476" i="6"/>
  <c r="G477" i="6" s="1"/>
  <c r="G519" i="6"/>
  <c r="G520" i="6" s="1"/>
  <c r="G289" i="6"/>
  <c r="G290" i="6" s="1"/>
  <c r="G338" i="6"/>
  <c r="G339" i="6" s="1"/>
  <c r="G381" i="6"/>
  <c r="G430" i="6"/>
  <c r="G431" i="6" s="1"/>
  <c r="G473" i="6"/>
  <c r="G474" i="6" s="1"/>
  <c r="G522" i="6"/>
  <c r="G523" i="6" s="1"/>
  <c r="U94" i="6" l="1"/>
  <c r="AG94" i="6" s="1"/>
  <c r="E87" i="6"/>
  <c r="H87" i="6" s="1"/>
  <c r="U272" i="6"/>
  <c r="U268" i="6"/>
  <c r="U275" i="6"/>
  <c r="U263" i="6"/>
  <c r="U274" i="6"/>
  <c r="U262" i="6"/>
  <c r="U45" i="6"/>
  <c r="AG45" i="6" s="1"/>
  <c r="G404" i="6"/>
  <c r="G409" i="6" s="1"/>
  <c r="G410" i="6" s="1"/>
  <c r="G534" i="6"/>
  <c r="G545" i="6"/>
  <c r="G546" i="6" s="1"/>
  <c r="G551" i="6" s="1"/>
  <c r="G533" i="6"/>
  <c r="G549" i="6"/>
  <c r="G550" i="6" s="1"/>
  <c r="G552" i="6" s="1"/>
  <c r="G542" i="6"/>
  <c r="G547" i="6" s="1"/>
  <c r="G548" i="6" s="1"/>
  <c r="G541" i="6"/>
  <c r="G487" i="6"/>
  <c r="G503" i="6"/>
  <c r="G504" i="6" s="1"/>
  <c r="G506" i="6" s="1"/>
  <c r="G488" i="6"/>
  <c r="G499" i="6"/>
  <c r="G500" i="6" s="1"/>
  <c r="G505" i="6" s="1"/>
  <c r="G442" i="6"/>
  <c r="G453" i="6"/>
  <c r="G454" i="6" s="1"/>
  <c r="G459" i="6" s="1"/>
  <c r="G441" i="6"/>
  <c r="G457" i="6"/>
  <c r="G458" i="6" s="1"/>
  <c r="G460" i="6" s="1"/>
  <c r="G450" i="6"/>
  <c r="G455" i="6" s="1"/>
  <c r="G456" i="6" s="1"/>
  <c r="G449" i="6"/>
  <c r="G358" i="6"/>
  <c r="G363" i="6" s="1"/>
  <c r="G364" i="6" s="1"/>
  <c r="G382" i="6"/>
  <c r="G385" i="6"/>
  <c r="G350" i="6"/>
  <c r="G361" i="6"/>
  <c r="G362" i="6" s="1"/>
  <c r="G367" i="6" s="1"/>
  <c r="G349" i="6"/>
  <c r="G365" i="6"/>
  <c r="G366" i="6" s="1"/>
  <c r="G368" i="6" s="1"/>
  <c r="G303" i="6"/>
  <c r="G319" i="6"/>
  <c r="G320" i="6" s="1"/>
  <c r="G322" i="6" s="1"/>
  <c r="G304" i="6"/>
  <c r="G315" i="6"/>
  <c r="G316" i="6" s="1"/>
  <c r="G321" i="6" s="1"/>
  <c r="G312" i="6"/>
  <c r="G317" i="6" s="1"/>
  <c r="G318" i="6" s="1"/>
  <c r="G311" i="6"/>
  <c r="E169" i="6"/>
  <c r="G256" i="6"/>
  <c r="G272" i="6"/>
  <c r="G273" i="6" s="1"/>
  <c r="G275" i="6" s="1"/>
  <c r="G257" i="6"/>
  <c r="G268" i="6"/>
  <c r="G269" i="6" s="1"/>
  <c r="G274" i="6" s="1"/>
  <c r="G172" i="6"/>
  <c r="G173" i="6"/>
  <c r="G178" i="6" s="1"/>
  <c r="G179" i="6" s="1"/>
  <c r="E216" i="6"/>
  <c r="H216" i="6" s="1"/>
  <c r="G219" i="6"/>
  <c r="G224" i="6" s="1"/>
  <c r="G225" i="6" s="1"/>
  <c r="G218" i="6"/>
  <c r="G211" i="6"/>
  <c r="G210" i="6"/>
  <c r="G164" i="6"/>
  <c r="G180" i="6"/>
  <c r="G181" i="6" s="1"/>
  <c r="G183" i="6" s="1"/>
  <c r="B196" i="6"/>
  <c r="B197" i="6" s="1"/>
  <c r="H168" i="6"/>
  <c r="E172" i="6"/>
  <c r="E171" i="6"/>
  <c r="H170" i="6"/>
  <c r="G90" i="6"/>
  <c r="G92" i="6" s="1"/>
  <c r="G103" i="6" s="1"/>
  <c r="G101" i="6"/>
  <c r="G102" i="6" s="1"/>
  <c r="U80" i="6"/>
  <c r="AG80" i="6" s="1"/>
  <c r="C243" i="6"/>
  <c r="C244" i="6"/>
  <c r="H120" i="6"/>
  <c r="G9" i="6"/>
  <c r="H54" i="6"/>
  <c r="U49" i="6" s="1"/>
  <c r="AG49" i="6" s="1"/>
  <c r="E69" i="6"/>
  <c r="H68" i="6"/>
  <c r="E72" i="6"/>
  <c r="H72" i="6" s="1"/>
  <c r="D279" i="6"/>
  <c r="U311" i="6" s="1"/>
  <c r="A245" i="6"/>
  <c r="A244" i="6"/>
  <c r="G112" i="6"/>
  <c r="E51" i="6"/>
  <c r="H51" i="6" s="1"/>
  <c r="E46" i="6"/>
  <c r="H45" i="6"/>
  <c r="G154" i="6"/>
  <c r="G176" i="6" s="1"/>
  <c r="G177" i="6" s="1"/>
  <c r="G121" i="6"/>
  <c r="G85" i="6" s="1"/>
  <c r="E40" i="6"/>
  <c r="H40" i="6" s="1"/>
  <c r="H39" i="6"/>
  <c r="E122" i="6"/>
  <c r="H119" i="6"/>
  <c r="U118" i="6" s="1"/>
  <c r="AG118" i="6" s="1"/>
  <c r="E124" i="6"/>
  <c r="H110" i="6"/>
  <c r="U111" i="6" s="1"/>
  <c r="AG111" i="6" s="1"/>
  <c r="E88" i="6" l="1"/>
  <c r="E89" i="6" s="1"/>
  <c r="E90" i="6" s="1"/>
  <c r="U322" i="6"/>
  <c r="U310" i="6"/>
  <c r="U321" i="6"/>
  <c r="U309" i="6"/>
  <c r="U319" i="6"/>
  <c r="U315" i="6"/>
  <c r="G396" i="6"/>
  <c r="G407" i="6"/>
  <c r="G408" i="6" s="1"/>
  <c r="G413" i="6" s="1"/>
  <c r="G395" i="6"/>
  <c r="G411" i="6"/>
  <c r="G412" i="6" s="1"/>
  <c r="G414" i="6" s="1"/>
  <c r="E262" i="6"/>
  <c r="E264" i="6" s="1"/>
  <c r="E260" i="6"/>
  <c r="H260" i="6" s="1"/>
  <c r="H262" i="6"/>
  <c r="B242" i="6"/>
  <c r="E232" i="6" s="1"/>
  <c r="H171" i="6"/>
  <c r="U171" i="6" s="1"/>
  <c r="E178" i="6"/>
  <c r="G182" i="6"/>
  <c r="E173" i="6"/>
  <c r="H172" i="6"/>
  <c r="H169" i="6"/>
  <c r="U170" i="6" s="1"/>
  <c r="B170" i="6"/>
  <c r="E174" i="6" s="1"/>
  <c r="H88" i="6"/>
  <c r="H121" i="6"/>
  <c r="C290" i="6"/>
  <c r="C291" i="6"/>
  <c r="G86" i="6"/>
  <c r="H85" i="6"/>
  <c r="G10" i="6"/>
  <c r="E140" i="6"/>
  <c r="E155" i="6"/>
  <c r="E125" i="6"/>
  <c r="H124" i="6"/>
  <c r="G165" i="6"/>
  <c r="G122" i="6"/>
  <c r="G125" i="6" s="1"/>
  <c r="E52" i="6"/>
  <c r="H52" i="6" s="1"/>
  <c r="U51" i="6" s="1"/>
  <c r="AG51" i="6" s="1"/>
  <c r="H46" i="6"/>
  <c r="U47" i="6" s="1"/>
  <c r="AG47" i="6" s="1"/>
  <c r="A291" i="6"/>
  <c r="D325" i="6"/>
  <c r="U357" i="6" s="1"/>
  <c r="A292" i="6"/>
  <c r="E73" i="6"/>
  <c r="H73" i="6" s="1"/>
  <c r="H69" i="6"/>
  <c r="E70" i="6"/>
  <c r="B243" i="6" l="1"/>
  <c r="U365" i="6"/>
  <c r="U361" i="6"/>
  <c r="U368" i="6"/>
  <c r="U356" i="6"/>
  <c r="U367" i="6"/>
  <c r="U355" i="6"/>
  <c r="E309" i="6"/>
  <c r="H309" i="6" s="1"/>
  <c r="E307" i="6"/>
  <c r="H307" i="6" s="1"/>
  <c r="E263" i="6"/>
  <c r="E270" i="6" s="1"/>
  <c r="B289" i="6"/>
  <c r="E261" i="6"/>
  <c r="H264" i="6"/>
  <c r="E265" i="6"/>
  <c r="H265" i="6" s="1"/>
  <c r="AG170" i="6"/>
  <c r="AG171" i="6"/>
  <c r="E175" i="6"/>
  <c r="H174" i="6"/>
  <c r="H173" i="6"/>
  <c r="U172" i="6" s="1"/>
  <c r="H89" i="6"/>
  <c r="C336" i="6"/>
  <c r="C337" i="6"/>
  <c r="U124" i="6"/>
  <c r="AG124" i="6" s="1"/>
  <c r="H86" i="6"/>
  <c r="U85" i="6" s="1"/>
  <c r="AG85" i="6" s="1"/>
  <c r="G91" i="6"/>
  <c r="H122" i="6"/>
  <c r="U121" i="6" s="1"/>
  <c r="AG121" i="6" s="1"/>
  <c r="H155" i="6"/>
  <c r="E159" i="6"/>
  <c r="E160" i="6"/>
  <c r="E201" i="6"/>
  <c r="E186" i="6"/>
  <c r="H140" i="6"/>
  <c r="E144" i="6"/>
  <c r="H144" i="6" s="1"/>
  <c r="E141" i="6"/>
  <c r="E156" i="6"/>
  <c r="E142" i="6"/>
  <c r="E143" i="6"/>
  <c r="B290" i="6"/>
  <c r="E130" i="6"/>
  <c r="E74" i="6"/>
  <c r="H74" i="6" s="1"/>
  <c r="U71" i="6" s="1"/>
  <c r="AG71" i="6" s="1"/>
  <c r="H70" i="6"/>
  <c r="U70" i="6" s="1"/>
  <c r="AG70" i="6" s="1"/>
  <c r="D371" i="6"/>
  <c r="U403" i="6" s="1"/>
  <c r="A338" i="6"/>
  <c r="A337" i="6"/>
  <c r="H125" i="6"/>
  <c r="AG172" i="6" l="1"/>
  <c r="U414" i="6"/>
  <c r="U402" i="6"/>
  <c r="U413" i="6"/>
  <c r="U401" i="6"/>
  <c r="U411" i="6"/>
  <c r="U407" i="6"/>
  <c r="E310" i="6"/>
  <c r="E317" i="6" s="1"/>
  <c r="E311" i="6"/>
  <c r="E312" i="6" s="1"/>
  <c r="H312" i="6" s="1"/>
  <c r="E355" i="6"/>
  <c r="H355" i="6" s="1"/>
  <c r="E353" i="6"/>
  <c r="H353" i="6" s="1"/>
  <c r="E357" i="6"/>
  <c r="E308" i="6"/>
  <c r="H263" i="6"/>
  <c r="AG263" i="6" s="1"/>
  <c r="H310" i="6"/>
  <c r="AG310" i="6" s="1"/>
  <c r="AG264" i="6"/>
  <c r="H261" i="6"/>
  <c r="AG262" i="6" s="1"/>
  <c r="B262" i="6"/>
  <c r="E266" i="6" s="1"/>
  <c r="H270" i="6"/>
  <c r="E271" i="6"/>
  <c r="H175" i="6"/>
  <c r="E176" i="6"/>
  <c r="E179" i="6"/>
  <c r="H178" i="6"/>
  <c r="H91" i="6"/>
  <c r="H90" i="6"/>
  <c r="U89" i="6" s="1"/>
  <c r="AG89" i="6" s="1"/>
  <c r="E92" i="6"/>
  <c r="H92" i="6" s="1"/>
  <c r="C382" i="6"/>
  <c r="C383" i="6"/>
  <c r="B335" i="6"/>
  <c r="B336" i="6" s="1"/>
  <c r="U125" i="6"/>
  <c r="AG125" i="6" s="1"/>
  <c r="H142" i="6"/>
  <c r="E146" i="6"/>
  <c r="H146" i="6" s="1"/>
  <c r="E145" i="6"/>
  <c r="H141" i="6"/>
  <c r="E202" i="6"/>
  <c r="E188" i="6"/>
  <c r="E189" i="6"/>
  <c r="E187" i="6"/>
  <c r="H186" i="6"/>
  <c r="E190" i="6"/>
  <c r="H190" i="6" s="1"/>
  <c r="E162" i="6"/>
  <c r="H162" i="6" s="1"/>
  <c r="H160" i="6"/>
  <c r="E147" i="6"/>
  <c r="H147" i="6" s="1"/>
  <c r="H143" i="6"/>
  <c r="E157" i="6"/>
  <c r="H157" i="6" s="1"/>
  <c r="E158" i="6"/>
  <c r="H158" i="6" s="1"/>
  <c r="U157" i="6" s="1"/>
  <c r="AG157" i="6" s="1"/>
  <c r="H156" i="6"/>
  <c r="E247" i="6"/>
  <c r="E401" i="6"/>
  <c r="E205" i="6"/>
  <c r="E206" i="6"/>
  <c r="H201" i="6"/>
  <c r="H159" i="6"/>
  <c r="E161" i="6"/>
  <c r="H161" i="6" s="1"/>
  <c r="E131" i="6"/>
  <c r="H131" i="6" s="1"/>
  <c r="H130" i="6"/>
  <c r="E132" i="6"/>
  <c r="H132" i="6" s="1"/>
  <c r="U132" i="6" s="1"/>
  <c r="AG132" i="6" s="1"/>
  <c r="A383" i="6"/>
  <c r="D417" i="6"/>
  <c r="U449" i="6" s="1"/>
  <c r="A384" i="6"/>
  <c r="H311" i="6" l="1"/>
  <c r="U155" i="6"/>
  <c r="AG155" i="6" s="1"/>
  <c r="U161" i="6"/>
  <c r="AG161" i="6" s="1"/>
  <c r="U457" i="6"/>
  <c r="U453" i="6"/>
  <c r="U460" i="6"/>
  <c r="U448" i="6"/>
  <c r="U459" i="6"/>
  <c r="U447" i="6"/>
  <c r="U92" i="6"/>
  <c r="U91" i="6"/>
  <c r="AG91" i="6" s="1"/>
  <c r="E399" i="6"/>
  <c r="H399" i="6" s="1"/>
  <c r="E403" i="6"/>
  <c r="H401" i="6"/>
  <c r="E402" i="6"/>
  <c r="E356" i="6"/>
  <c r="E363" i="6" s="1"/>
  <c r="B381" i="6"/>
  <c r="B382" i="6" s="1"/>
  <c r="E354" i="6"/>
  <c r="H357" i="6"/>
  <c r="E358" i="6"/>
  <c r="H358" i="6" s="1"/>
  <c r="B309" i="6"/>
  <c r="E313" i="6" s="1"/>
  <c r="H308" i="6"/>
  <c r="AG309" i="6" s="1"/>
  <c r="U160" i="6"/>
  <c r="AG160" i="6" s="1"/>
  <c r="H317" i="6"/>
  <c r="E318" i="6"/>
  <c r="AG311" i="6"/>
  <c r="E267" i="6"/>
  <c r="H266" i="6"/>
  <c r="E272" i="6"/>
  <c r="H271" i="6"/>
  <c r="E180" i="6"/>
  <c r="H179" i="6"/>
  <c r="E177" i="6"/>
  <c r="H176" i="6"/>
  <c r="H145" i="6"/>
  <c r="E149" i="6"/>
  <c r="U130" i="6"/>
  <c r="AG130" i="6" s="1"/>
  <c r="C428" i="6"/>
  <c r="C429" i="6"/>
  <c r="E208" i="6"/>
  <c r="H208" i="6" s="1"/>
  <c r="H206" i="6"/>
  <c r="E294" i="6"/>
  <c r="E279" i="6"/>
  <c r="E235" i="6"/>
  <c r="E248" i="6"/>
  <c r="E250" i="6" s="1"/>
  <c r="H250" i="6" s="1"/>
  <c r="U249" i="6" s="1"/>
  <c r="AG249" i="6" s="1"/>
  <c r="E234" i="6"/>
  <c r="H247" i="6"/>
  <c r="E251" i="6"/>
  <c r="E252" i="6"/>
  <c r="H189" i="6"/>
  <c r="E193" i="6"/>
  <c r="H193" i="6" s="1"/>
  <c r="H202" i="6"/>
  <c r="E204" i="6"/>
  <c r="H204" i="6" s="1"/>
  <c r="U203" i="6" s="1"/>
  <c r="AG203" i="6" s="1"/>
  <c r="E203" i="6"/>
  <c r="H203" i="6" s="1"/>
  <c r="U144" i="6"/>
  <c r="AG144" i="6" s="1"/>
  <c r="E207" i="6"/>
  <c r="H207" i="6" s="1"/>
  <c r="U207" i="6" s="1"/>
  <c r="AG207" i="6" s="1"/>
  <c r="H205" i="6"/>
  <c r="E447" i="6"/>
  <c r="E236" i="6"/>
  <c r="H236" i="6" s="1"/>
  <c r="E233" i="6"/>
  <c r="H232" i="6"/>
  <c r="H187" i="6"/>
  <c r="E191" i="6"/>
  <c r="H188" i="6"/>
  <c r="E192" i="6"/>
  <c r="H192" i="6" s="1"/>
  <c r="U143" i="6"/>
  <c r="AG143" i="6" s="1"/>
  <c r="D463" i="6"/>
  <c r="U495" i="6" s="1"/>
  <c r="A430" i="6"/>
  <c r="A429" i="6"/>
  <c r="U96" i="6" l="1"/>
  <c r="AG96" i="6" s="1"/>
  <c r="U201" i="6"/>
  <c r="AG201" i="6" s="1"/>
  <c r="U506" i="6"/>
  <c r="U494" i="6"/>
  <c r="U505" i="6"/>
  <c r="U493" i="6"/>
  <c r="U503" i="6"/>
  <c r="U499" i="6"/>
  <c r="AG92" i="6"/>
  <c r="H447" i="6"/>
  <c r="E448" i="6"/>
  <c r="E449" i="6"/>
  <c r="E445" i="6"/>
  <c r="H445" i="6" s="1"/>
  <c r="B427" i="6"/>
  <c r="B428" i="6" s="1"/>
  <c r="E400" i="6"/>
  <c r="H356" i="6"/>
  <c r="AG356" i="6" s="1"/>
  <c r="E409" i="6"/>
  <c r="H402" i="6"/>
  <c r="AG402" i="6" s="1"/>
  <c r="H403" i="6"/>
  <c r="E404" i="6"/>
  <c r="H404" i="6" s="1"/>
  <c r="B355" i="6"/>
  <c r="E359" i="6" s="1"/>
  <c r="H354" i="6"/>
  <c r="AG355" i="6" s="1"/>
  <c r="H363" i="6"/>
  <c r="E364" i="6"/>
  <c r="AG357" i="6"/>
  <c r="H313" i="6"/>
  <c r="E314" i="6"/>
  <c r="E319" i="6"/>
  <c r="H318" i="6"/>
  <c r="E268" i="6"/>
  <c r="H267" i="6"/>
  <c r="H272" i="6"/>
  <c r="E273" i="6"/>
  <c r="H191" i="6"/>
  <c r="U190" i="6" s="1"/>
  <c r="AG190" i="6" s="1"/>
  <c r="E195" i="6"/>
  <c r="H177" i="6"/>
  <c r="E182" i="6"/>
  <c r="H182" i="6" s="1"/>
  <c r="E181" i="6"/>
  <c r="H180" i="6"/>
  <c r="H149" i="6"/>
  <c r="E150" i="6"/>
  <c r="E152" i="6"/>
  <c r="C474" i="6"/>
  <c r="C475" i="6"/>
  <c r="U206" i="6"/>
  <c r="AG206" i="6" s="1"/>
  <c r="U189" i="6"/>
  <c r="AG189" i="6" s="1"/>
  <c r="E237" i="6"/>
  <c r="H233" i="6"/>
  <c r="E340" i="6"/>
  <c r="E325" i="6"/>
  <c r="E493" i="6"/>
  <c r="H252" i="6"/>
  <c r="E254" i="6"/>
  <c r="H254" i="6" s="1"/>
  <c r="H234" i="6"/>
  <c r="E238" i="6"/>
  <c r="H238" i="6" s="1"/>
  <c r="E239" i="6"/>
  <c r="H239" i="6" s="1"/>
  <c r="H235" i="6"/>
  <c r="H294" i="6"/>
  <c r="E299" i="6"/>
  <c r="E298" i="6"/>
  <c r="E295" i="6"/>
  <c r="E281" i="6"/>
  <c r="E282" i="6"/>
  <c r="E253" i="6"/>
  <c r="H253" i="6" s="1"/>
  <c r="H251" i="6"/>
  <c r="E249" i="6"/>
  <c r="H249" i="6" s="1"/>
  <c r="H248" i="6"/>
  <c r="E280" i="6"/>
  <c r="H279" i="6"/>
  <c r="E283" i="6"/>
  <c r="H283" i="6" s="1"/>
  <c r="A475" i="6"/>
  <c r="D509" i="6"/>
  <c r="A476" i="6"/>
  <c r="U182" i="6" l="1"/>
  <c r="AG182" i="6" s="1"/>
  <c r="U176" i="6"/>
  <c r="AG176" i="6" s="1"/>
  <c r="U253" i="6"/>
  <c r="AG253" i="6" s="1"/>
  <c r="U541" i="6"/>
  <c r="U549" i="6"/>
  <c r="U545" i="6"/>
  <c r="U552" i="6"/>
  <c r="U540" i="6"/>
  <c r="U551" i="6"/>
  <c r="U539" i="6"/>
  <c r="U235" i="6"/>
  <c r="AG235" i="6" s="1"/>
  <c r="E495" i="6"/>
  <c r="E494" i="6"/>
  <c r="H493" i="6"/>
  <c r="H449" i="6"/>
  <c r="E450" i="6"/>
  <c r="H450" i="6" s="1"/>
  <c r="E455" i="6"/>
  <c r="H448" i="6"/>
  <c r="AG448" i="6" s="1"/>
  <c r="E491" i="6"/>
  <c r="H491" i="6" s="1"/>
  <c r="B473" i="6"/>
  <c r="B474" i="6" s="1"/>
  <c r="E446" i="6"/>
  <c r="H446" i="6" s="1"/>
  <c r="AG447" i="6" s="1"/>
  <c r="H400" i="6"/>
  <c r="AG401" i="6" s="1"/>
  <c r="B401" i="6"/>
  <c r="E405" i="6" s="1"/>
  <c r="U252" i="6"/>
  <c r="AG252" i="6" s="1"/>
  <c r="H409" i="6"/>
  <c r="E410" i="6"/>
  <c r="AG403" i="6"/>
  <c r="E360" i="6"/>
  <c r="H359" i="6"/>
  <c r="E365" i="6"/>
  <c r="H364" i="6"/>
  <c r="H314" i="6"/>
  <c r="E315" i="6"/>
  <c r="H319" i="6"/>
  <c r="E320" i="6"/>
  <c r="E269" i="6"/>
  <c r="H268" i="6"/>
  <c r="H237" i="6"/>
  <c r="U236" i="6" s="1"/>
  <c r="AG236" i="6" s="1"/>
  <c r="E241" i="6"/>
  <c r="E275" i="6"/>
  <c r="H275" i="6" s="1"/>
  <c r="AG275" i="6" s="1"/>
  <c r="H273" i="6"/>
  <c r="AG272" i="6" s="1"/>
  <c r="E196" i="6"/>
  <c r="H195" i="6"/>
  <c r="E198" i="6"/>
  <c r="H181" i="6"/>
  <c r="E183" i="6"/>
  <c r="H183" i="6" s="1"/>
  <c r="H152" i="6"/>
  <c r="E153" i="6"/>
  <c r="E151" i="6"/>
  <c r="H150" i="6"/>
  <c r="C520" i="6"/>
  <c r="C521" i="6"/>
  <c r="U247" i="6"/>
  <c r="AG247" i="6" s="1"/>
  <c r="H282" i="6"/>
  <c r="E286" i="6"/>
  <c r="H286" i="6" s="1"/>
  <c r="E296" i="6"/>
  <c r="H296" i="6" s="1"/>
  <c r="H295" i="6"/>
  <c r="H299" i="6"/>
  <c r="E301" i="6"/>
  <c r="H301" i="6" s="1"/>
  <c r="E341" i="6"/>
  <c r="E343" i="6" s="1"/>
  <c r="H343" i="6" s="1"/>
  <c r="U342" i="6" s="1"/>
  <c r="AG342" i="6" s="1"/>
  <c r="E327" i="6"/>
  <c r="E328" i="6"/>
  <c r="E344" i="6"/>
  <c r="E345" i="6"/>
  <c r="H340" i="6"/>
  <c r="E297" i="6"/>
  <c r="H297" i="6" s="1"/>
  <c r="U296" i="6" s="1"/>
  <c r="AG296" i="6" s="1"/>
  <c r="E284" i="6"/>
  <c r="H280" i="6"/>
  <c r="H281" i="6"/>
  <c r="E285" i="6"/>
  <c r="H285" i="6" s="1"/>
  <c r="H298" i="6"/>
  <c r="E300" i="6"/>
  <c r="H300" i="6" s="1"/>
  <c r="U300" i="6" s="1"/>
  <c r="AG300" i="6" s="1"/>
  <c r="E386" i="6"/>
  <c r="E371" i="6"/>
  <c r="H325" i="6"/>
  <c r="E329" i="6"/>
  <c r="H329" i="6" s="1"/>
  <c r="E326" i="6"/>
  <c r="A522" i="6"/>
  <c r="A521" i="6"/>
  <c r="B447" i="6" l="1"/>
  <c r="E451" i="6" s="1"/>
  <c r="H451" i="6" s="1"/>
  <c r="U180" i="6"/>
  <c r="AG180" i="6" s="1"/>
  <c r="U183" i="6"/>
  <c r="AG183" i="6" s="1"/>
  <c r="U299" i="6"/>
  <c r="AG299" i="6" s="1"/>
  <c r="AG449" i="6"/>
  <c r="E496" i="6"/>
  <c r="H496" i="6" s="1"/>
  <c r="H495" i="6"/>
  <c r="AG495" i="6" s="1"/>
  <c r="E537" i="6"/>
  <c r="H537" i="6" s="1"/>
  <c r="E539" i="6"/>
  <c r="E456" i="6"/>
  <c r="H455" i="6"/>
  <c r="H494" i="6"/>
  <c r="AG494" i="6" s="1"/>
  <c r="E501" i="6"/>
  <c r="B519" i="6"/>
  <c r="E492" i="6"/>
  <c r="H492" i="6" s="1"/>
  <c r="AG493" i="6" s="1"/>
  <c r="E452" i="6"/>
  <c r="E406" i="6"/>
  <c r="H405" i="6"/>
  <c r="E411" i="6"/>
  <c r="H410" i="6"/>
  <c r="H360" i="6"/>
  <c r="E361" i="6"/>
  <c r="H365" i="6"/>
  <c r="E366" i="6"/>
  <c r="E316" i="6"/>
  <c r="H315" i="6"/>
  <c r="E322" i="6"/>
  <c r="H322" i="6" s="1"/>
  <c r="AG322" i="6" s="1"/>
  <c r="H320" i="6"/>
  <c r="AG319" i="6" s="1"/>
  <c r="H284" i="6"/>
  <c r="E288" i="6"/>
  <c r="H269" i="6"/>
  <c r="AG268" i="6" s="1"/>
  <c r="E274" i="6"/>
  <c r="H274" i="6" s="1"/>
  <c r="AG274" i="6" s="1"/>
  <c r="E242" i="6"/>
  <c r="H241" i="6"/>
  <c r="E244" i="6"/>
  <c r="E199" i="6"/>
  <c r="H198" i="6"/>
  <c r="E197" i="6"/>
  <c r="H196" i="6"/>
  <c r="B215" i="6"/>
  <c r="E217" i="6" s="1"/>
  <c r="B214" i="6"/>
  <c r="E218" i="6"/>
  <c r="E164" i="6"/>
  <c r="H164" i="6" s="1"/>
  <c r="U164" i="6" s="1"/>
  <c r="AG164" i="6" s="1"/>
  <c r="H151" i="6"/>
  <c r="U150" i="6" s="1"/>
  <c r="AG150" i="6" s="1"/>
  <c r="E154" i="6"/>
  <c r="H153" i="6"/>
  <c r="U294" i="6"/>
  <c r="AG294" i="6" s="1"/>
  <c r="U282" i="6"/>
  <c r="AG282" i="6" s="1"/>
  <c r="E330" i="6"/>
  <c r="H326" i="6"/>
  <c r="H386" i="6"/>
  <c r="E391" i="6"/>
  <c r="E390" i="6"/>
  <c r="H344" i="6"/>
  <c r="E346" i="6"/>
  <c r="H346" i="6" s="1"/>
  <c r="E387" i="6"/>
  <c r="E373" i="6"/>
  <c r="E374" i="6"/>
  <c r="E332" i="6"/>
  <c r="H332" i="6" s="1"/>
  <c r="H328" i="6"/>
  <c r="E342" i="6"/>
  <c r="H342" i="6" s="1"/>
  <c r="H341" i="6"/>
  <c r="U283" i="6"/>
  <c r="AG283" i="6" s="1"/>
  <c r="E372" i="6"/>
  <c r="H371" i="6"/>
  <c r="E375" i="6"/>
  <c r="H375" i="6" s="1"/>
  <c r="E347" i="6"/>
  <c r="H347" i="6" s="1"/>
  <c r="H345" i="6"/>
  <c r="E432" i="6"/>
  <c r="E417" i="6"/>
  <c r="H327" i="6"/>
  <c r="E331" i="6"/>
  <c r="H331" i="6" s="1"/>
  <c r="V6" i="6"/>
  <c r="B520" i="6"/>
  <c r="B493" i="6" l="1"/>
  <c r="E497" i="6" s="1"/>
  <c r="E498" i="6" s="1"/>
  <c r="E457" i="6"/>
  <c r="H456" i="6"/>
  <c r="E538" i="6"/>
  <c r="H538" i="6" s="1"/>
  <c r="AG539" i="6" s="1"/>
  <c r="M7" i="6"/>
  <c r="E96" i="6" s="1"/>
  <c r="H501" i="6"/>
  <c r="E502" i="6"/>
  <c r="H539" i="6"/>
  <c r="E541" i="6"/>
  <c r="E540" i="6"/>
  <c r="B539" i="6"/>
  <c r="E543" i="6" s="1"/>
  <c r="E453" i="6"/>
  <c r="H452" i="6"/>
  <c r="H406" i="6"/>
  <c r="E407" i="6"/>
  <c r="H411" i="6"/>
  <c r="E412" i="6"/>
  <c r="E214" i="6"/>
  <c r="H214" i="6" s="1"/>
  <c r="E215" i="6"/>
  <c r="E362" i="6"/>
  <c r="H361" i="6"/>
  <c r="E368" i="6"/>
  <c r="H368" i="6" s="1"/>
  <c r="AG368" i="6" s="1"/>
  <c r="H366" i="6"/>
  <c r="AG365" i="6" s="1"/>
  <c r="H316" i="6"/>
  <c r="AG315" i="6" s="1"/>
  <c r="E321" i="6"/>
  <c r="H321" i="6" s="1"/>
  <c r="AG321" i="6" s="1"/>
  <c r="H244" i="6"/>
  <c r="E245" i="6"/>
  <c r="E243" i="6"/>
  <c r="H242" i="6"/>
  <c r="H330" i="6"/>
  <c r="E334" i="6"/>
  <c r="E289" i="6"/>
  <c r="E291" i="6"/>
  <c r="H288" i="6"/>
  <c r="H197" i="6"/>
  <c r="U196" i="6" s="1"/>
  <c r="AG196" i="6" s="1"/>
  <c r="E210" i="6"/>
  <c r="H210" i="6" s="1"/>
  <c r="U210" i="6" s="1"/>
  <c r="AG210" i="6" s="1"/>
  <c r="H199" i="6"/>
  <c r="E200" i="6"/>
  <c r="H218" i="6"/>
  <c r="E219" i="6"/>
  <c r="H219" i="6" s="1"/>
  <c r="E224" i="6"/>
  <c r="H217" i="6"/>
  <c r="E165" i="6"/>
  <c r="H165" i="6" s="1"/>
  <c r="U165" i="6" s="1"/>
  <c r="AG165" i="6" s="1"/>
  <c r="H154" i="6"/>
  <c r="U153" i="6" s="1"/>
  <c r="AG153" i="6" s="1"/>
  <c r="E420" i="6"/>
  <c r="E433" i="6"/>
  <c r="E419" i="6"/>
  <c r="E421" i="6"/>
  <c r="H421" i="6" s="1"/>
  <c r="E418" i="6"/>
  <c r="H417" i="6"/>
  <c r="H372" i="6"/>
  <c r="E376" i="6"/>
  <c r="E378" i="6"/>
  <c r="H378" i="6" s="1"/>
  <c r="H374" i="6"/>
  <c r="E388" i="6"/>
  <c r="H388" i="6" s="1"/>
  <c r="H387" i="6"/>
  <c r="H391" i="6"/>
  <c r="E393" i="6"/>
  <c r="H393" i="6" s="1"/>
  <c r="U340" i="6"/>
  <c r="AG340" i="6" s="1"/>
  <c r="U345" i="6"/>
  <c r="AG345" i="6" s="1"/>
  <c r="E389" i="6"/>
  <c r="H389" i="6" s="1"/>
  <c r="U388" i="6" s="1"/>
  <c r="AG388" i="6" s="1"/>
  <c r="U329" i="6"/>
  <c r="AG329" i="6" s="1"/>
  <c r="E478" i="6"/>
  <c r="E463" i="6"/>
  <c r="H432" i="6"/>
  <c r="E436" i="6"/>
  <c r="E437" i="6"/>
  <c r="E377" i="6"/>
  <c r="H377" i="6" s="1"/>
  <c r="H373" i="6"/>
  <c r="H390" i="6"/>
  <c r="E392" i="6"/>
  <c r="H392" i="6" s="1"/>
  <c r="U392" i="6" s="1"/>
  <c r="AG392" i="6" s="1"/>
  <c r="U346" i="6"/>
  <c r="AG346" i="6" s="1"/>
  <c r="U328" i="6"/>
  <c r="AG328" i="6" s="1"/>
  <c r="E525" i="6"/>
  <c r="E512" i="6"/>
  <c r="E511" i="6"/>
  <c r="H497" i="6" l="1"/>
  <c r="E57" i="6"/>
  <c r="E60" i="6"/>
  <c r="H60" i="6" s="1"/>
  <c r="U217" i="6"/>
  <c r="AG217" i="6" s="1"/>
  <c r="U218" i="6"/>
  <c r="AG218" i="6" s="1"/>
  <c r="U391" i="6"/>
  <c r="AG391" i="6" s="1"/>
  <c r="H540" i="6"/>
  <c r="E547" i="6"/>
  <c r="E458" i="6"/>
  <c r="H457" i="6"/>
  <c r="U386" i="6"/>
  <c r="AG386" i="6" s="1"/>
  <c r="AG540" i="6"/>
  <c r="E542" i="6"/>
  <c r="H542" i="6" s="1"/>
  <c r="H541" i="6"/>
  <c r="H502" i="6"/>
  <c r="E503" i="6"/>
  <c r="E112" i="6"/>
  <c r="E37" i="6"/>
  <c r="E61" i="6"/>
  <c r="E64" i="6" s="1"/>
  <c r="E63" i="6"/>
  <c r="H63" i="6" s="1"/>
  <c r="U374" i="6"/>
  <c r="AG374" i="6" s="1"/>
  <c r="H543" i="6"/>
  <c r="E544" i="6"/>
  <c r="E499" i="6"/>
  <c r="H498" i="6"/>
  <c r="H407" i="6"/>
  <c r="E408" i="6"/>
  <c r="H453" i="6"/>
  <c r="E454" i="6"/>
  <c r="E414" i="6"/>
  <c r="H414" i="6" s="1"/>
  <c r="AG414" i="6" s="1"/>
  <c r="H412" i="6"/>
  <c r="AG411" i="6" s="1"/>
  <c r="H362" i="6"/>
  <c r="AG361" i="6" s="1"/>
  <c r="E367" i="6"/>
  <c r="H367" i="6" s="1"/>
  <c r="AG367" i="6" s="1"/>
  <c r="E290" i="6"/>
  <c r="H289" i="6"/>
  <c r="H243" i="6"/>
  <c r="U242" i="6" s="1"/>
  <c r="AG242" i="6" s="1"/>
  <c r="E256" i="6"/>
  <c r="H256" i="6" s="1"/>
  <c r="U256" i="6" s="1"/>
  <c r="AG256" i="6" s="1"/>
  <c r="H376" i="6"/>
  <c r="U375" i="6" s="1"/>
  <c r="AG375" i="6" s="1"/>
  <c r="E380" i="6"/>
  <c r="H291" i="6"/>
  <c r="E292" i="6"/>
  <c r="E335" i="6"/>
  <c r="H334" i="6"/>
  <c r="E337" i="6"/>
  <c r="H245" i="6"/>
  <c r="E246" i="6"/>
  <c r="H200" i="6"/>
  <c r="U199" i="6" s="1"/>
  <c r="AG199" i="6" s="1"/>
  <c r="E211" i="6"/>
  <c r="H211" i="6" s="1"/>
  <c r="U211" i="6" s="1"/>
  <c r="AG211" i="6" s="1"/>
  <c r="H224" i="6"/>
  <c r="E225" i="6"/>
  <c r="H215" i="6"/>
  <c r="B216" i="6"/>
  <c r="E220" i="6" s="1"/>
  <c r="H437" i="6"/>
  <c r="E439" i="6"/>
  <c r="H439" i="6" s="1"/>
  <c r="E479" i="6"/>
  <c r="E481" i="6" s="1"/>
  <c r="H481" i="6" s="1"/>
  <c r="U480" i="6" s="1"/>
  <c r="AG480" i="6" s="1"/>
  <c r="E465" i="6"/>
  <c r="E466" i="6"/>
  <c r="H478" i="6"/>
  <c r="E483" i="6"/>
  <c r="E482" i="6"/>
  <c r="H418" i="6"/>
  <c r="E422" i="6"/>
  <c r="H419" i="6"/>
  <c r="E423" i="6"/>
  <c r="H423" i="6" s="1"/>
  <c r="E424" i="6"/>
  <c r="H424" i="6" s="1"/>
  <c r="H420" i="6"/>
  <c r="E438" i="6"/>
  <c r="H438" i="6" s="1"/>
  <c r="U438" i="6" s="1"/>
  <c r="AG438" i="6" s="1"/>
  <c r="H436" i="6"/>
  <c r="U437" i="6" s="1"/>
  <c r="AG437" i="6" s="1"/>
  <c r="E524" i="6"/>
  <c r="E527" i="6" s="1"/>
  <c r="H527" i="6" s="1"/>
  <c r="U526" i="6" s="1"/>
  <c r="AG526" i="6" s="1"/>
  <c r="E509" i="6"/>
  <c r="E464" i="6"/>
  <c r="H463" i="6"/>
  <c r="E467" i="6"/>
  <c r="H467" i="6" s="1"/>
  <c r="E434" i="6"/>
  <c r="H434" i="6" s="1"/>
  <c r="H433" i="6"/>
  <c r="E435" i="6"/>
  <c r="H435" i="6" s="1"/>
  <c r="U434" i="6" s="1"/>
  <c r="AG434" i="6" s="1"/>
  <c r="E515" i="6"/>
  <c r="H515" i="6" s="1"/>
  <c r="H511" i="6"/>
  <c r="H525" i="6"/>
  <c r="E526" i="6"/>
  <c r="H526" i="6" s="1"/>
  <c r="E516" i="6"/>
  <c r="H516" i="6" s="1"/>
  <c r="H512" i="6"/>
  <c r="U216" i="6" l="1"/>
  <c r="AG216" i="6" s="1"/>
  <c r="E38" i="6"/>
  <c r="H38" i="6" s="1"/>
  <c r="E41" i="6"/>
  <c r="H37" i="6"/>
  <c r="H112" i="6"/>
  <c r="E113" i="6"/>
  <c r="H113" i="6" s="1"/>
  <c r="E460" i="6"/>
  <c r="H460" i="6" s="1"/>
  <c r="AG460" i="6" s="1"/>
  <c r="H458" i="6"/>
  <c r="AG457" i="6" s="1"/>
  <c r="U432" i="6"/>
  <c r="AG432" i="6" s="1"/>
  <c r="H64" i="6"/>
  <c r="U63" i="6" s="1"/>
  <c r="AG63" i="6" s="1"/>
  <c r="H61" i="6"/>
  <c r="U57" i="6" s="1"/>
  <c r="AG57" i="6" s="1"/>
  <c r="H57" i="6"/>
  <c r="E58" i="6"/>
  <c r="H58" i="6" s="1"/>
  <c r="E97" i="6"/>
  <c r="H96" i="6"/>
  <c r="H503" i="6"/>
  <c r="E504" i="6"/>
  <c r="H547" i="6"/>
  <c r="E548" i="6"/>
  <c r="U420" i="6"/>
  <c r="AG420" i="6" s="1"/>
  <c r="AG541" i="6"/>
  <c r="E545" i="6"/>
  <c r="H544" i="6"/>
  <c r="H499" i="6"/>
  <c r="E500" i="6"/>
  <c r="E459" i="6"/>
  <c r="H459" i="6" s="1"/>
  <c r="AG459" i="6" s="1"/>
  <c r="H454" i="6"/>
  <c r="AG453" i="6" s="1"/>
  <c r="H408" i="6"/>
  <c r="AG407" i="6" s="1"/>
  <c r="E413" i="6"/>
  <c r="H413" i="6" s="1"/>
  <c r="AG413" i="6" s="1"/>
  <c r="E257" i="6"/>
  <c r="H257" i="6" s="1"/>
  <c r="U257" i="6" s="1"/>
  <c r="AG257" i="6" s="1"/>
  <c r="H246" i="6"/>
  <c r="U245" i="6" s="1"/>
  <c r="AG245" i="6" s="1"/>
  <c r="E338" i="6"/>
  <c r="H337" i="6"/>
  <c r="E336" i="6"/>
  <c r="H335" i="6"/>
  <c r="E303" i="6"/>
  <c r="H303" i="6" s="1"/>
  <c r="U303" i="6" s="1"/>
  <c r="AG303" i="6" s="1"/>
  <c r="H290" i="6"/>
  <c r="U289" i="6" s="1"/>
  <c r="AG289" i="6" s="1"/>
  <c r="H422" i="6"/>
  <c r="U421" i="6" s="1"/>
  <c r="AG421" i="6" s="1"/>
  <c r="E426" i="6"/>
  <c r="H292" i="6"/>
  <c r="E293" i="6"/>
  <c r="E381" i="6"/>
  <c r="E383" i="6"/>
  <c r="H380" i="6"/>
  <c r="H220" i="6"/>
  <c r="E221" i="6"/>
  <c r="E226" i="6"/>
  <c r="H225" i="6"/>
  <c r="H464" i="6"/>
  <c r="E468" i="6"/>
  <c r="H524" i="6"/>
  <c r="E528" i="6"/>
  <c r="E529" i="6"/>
  <c r="E484" i="6"/>
  <c r="H484" i="6" s="1"/>
  <c r="H482" i="6"/>
  <c r="E470" i="6"/>
  <c r="H470" i="6" s="1"/>
  <c r="H466" i="6"/>
  <c r="E480" i="6"/>
  <c r="H480" i="6" s="1"/>
  <c r="H479" i="6"/>
  <c r="E513" i="6"/>
  <c r="H513" i="6" s="1"/>
  <c r="E510" i="6"/>
  <c r="H509" i="6"/>
  <c r="E485" i="6"/>
  <c r="H485" i="6" s="1"/>
  <c r="H483" i="6"/>
  <c r="E469" i="6"/>
  <c r="H469" i="6" s="1"/>
  <c r="H465" i="6"/>
  <c r="U524" i="6"/>
  <c r="AG524" i="6" s="1"/>
  <c r="H97" i="6" l="1"/>
  <c r="E98" i="6"/>
  <c r="U35" i="6"/>
  <c r="AG35" i="6" s="1"/>
  <c r="U478" i="6"/>
  <c r="AG478" i="6" s="1"/>
  <c r="E549" i="6"/>
  <c r="H548" i="6"/>
  <c r="E506" i="6"/>
  <c r="H506" i="6" s="1"/>
  <c r="AG506" i="6" s="1"/>
  <c r="H504" i="6"/>
  <c r="AG503" i="6" s="1"/>
  <c r="U484" i="6"/>
  <c r="AG484" i="6" s="1"/>
  <c r="U61" i="6"/>
  <c r="AG61" i="6" s="1"/>
  <c r="H41" i="6"/>
  <c r="E42" i="6"/>
  <c r="H42" i="6" s="1"/>
  <c r="U483" i="6"/>
  <c r="AG483" i="6" s="1"/>
  <c r="U466" i="6"/>
  <c r="AG466" i="6" s="1"/>
  <c r="U59" i="6"/>
  <c r="AG59" i="6" s="1"/>
  <c r="U113" i="6"/>
  <c r="AG113" i="6" s="1"/>
  <c r="H545" i="6"/>
  <c r="E546" i="6"/>
  <c r="E505" i="6"/>
  <c r="H505" i="6" s="1"/>
  <c r="AG505" i="6" s="1"/>
  <c r="H500" i="6"/>
  <c r="AG499" i="6" s="1"/>
  <c r="H468" i="6"/>
  <c r="U467" i="6" s="1"/>
  <c r="AG467" i="6" s="1"/>
  <c r="E472" i="6"/>
  <c r="E382" i="6"/>
  <c r="H381" i="6"/>
  <c r="H336" i="6"/>
  <c r="U335" i="6" s="1"/>
  <c r="AG335" i="6" s="1"/>
  <c r="E349" i="6"/>
  <c r="H349" i="6" s="1"/>
  <c r="H338" i="6"/>
  <c r="E339" i="6"/>
  <c r="H383" i="6"/>
  <c r="E384" i="6"/>
  <c r="E304" i="6"/>
  <c r="H304" i="6" s="1"/>
  <c r="U304" i="6" s="1"/>
  <c r="AG304" i="6" s="1"/>
  <c r="H293" i="6"/>
  <c r="U292" i="6" s="1"/>
  <c r="AG292" i="6" s="1"/>
  <c r="E427" i="6"/>
  <c r="E429" i="6"/>
  <c r="H426" i="6"/>
  <c r="H226" i="6"/>
  <c r="E227" i="6"/>
  <c r="E222" i="6"/>
  <c r="H221" i="6"/>
  <c r="E514" i="6"/>
  <c r="H510" i="6"/>
  <c r="U512" i="6" s="1"/>
  <c r="AG512" i="6" s="1"/>
  <c r="E531" i="6"/>
  <c r="H531" i="6" s="1"/>
  <c r="H529" i="6"/>
  <c r="H528" i="6"/>
  <c r="E530" i="6"/>
  <c r="H530" i="6" s="1"/>
  <c r="U530" i="6" s="1"/>
  <c r="AG530" i="6" s="1"/>
  <c r="E99" i="6" l="1"/>
  <c r="H98" i="6"/>
  <c r="U98" i="6" s="1"/>
  <c r="AG98" i="6" s="1"/>
  <c r="E550" i="6"/>
  <c r="H549" i="6"/>
  <c r="U39" i="6"/>
  <c r="AG39" i="6" s="1"/>
  <c r="U529" i="6"/>
  <c r="AG529" i="6" s="1"/>
  <c r="E551" i="6"/>
  <c r="H551" i="6" s="1"/>
  <c r="AG551" i="6" s="1"/>
  <c r="H546" i="6"/>
  <c r="AG545" i="6" s="1"/>
  <c r="U349" i="6"/>
  <c r="AG349" i="6" s="1"/>
  <c r="E428" i="6"/>
  <c r="H427" i="6"/>
  <c r="H382" i="6"/>
  <c r="U381" i="6" s="1"/>
  <c r="AG381" i="6" s="1"/>
  <c r="E395" i="6"/>
  <c r="H395" i="6" s="1"/>
  <c r="H514" i="6"/>
  <c r="U513" i="6" s="1"/>
  <c r="AG513" i="6" s="1"/>
  <c r="E518" i="6"/>
  <c r="H429" i="6"/>
  <c r="E430" i="6"/>
  <c r="H384" i="6"/>
  <c r="E385" i="6"/>
  <c r="H339" i="6"/>
  <c r="U338" i="6" s="1"/>
  <c r="AG338" i="6" s="1"/>
  <c r="E350" i="6"/>
  <c r="H350" i="6" s="1"/>
  <c r="E473" i="6"/>
  <c r="E475" i="6"/>
  <c r="H472" i="6"/>
  <c r="H222" i="6"/>
  <c r="E223" i="6"/>
  <c r="E229" i="6"/>
  <c r="H229" i="6" s="1"/>
  <c r="H227" i="6"/>
  <c r="E100" i="6" l="1"/>
  <c r="H99" i="6"/>
  <c r="U229" i="6"/>
  <c r="AG229" i="6" s="1"/>
  <c r="U226" i="6"/>
  <c r="AG226" i="6" s="1"/>
  <c r="U395" i="6"/>
  <c r="AG395" i="6" s="1"/>
  <c r="E552" i="6"/>
  <c r="H552" i="6" s="1"/>
  <c r="AG552" i="6" s="1"/>
  <c r="H550" i="6"/>
  <c r="AG549" i="6" s="1"/>
  <c r="U350" i="6"/>
  <c r="AG350" i="6" s="1"/>
  <c r="E474" i="6"/>
  <c r="H473" i="6"/>
  <c r="E441" i="6"/>
  <c r="H441" i="6" s="1"/>
  <c r="H428" i="6"/>
  <c r="U427" i="6" s="1"/>
  <c r="AG427" i="6" s="1"/>
  <c r="E476" i="6"/>
  <c r="H475" i="6"/>
  <c r="E396" i="6"/>
  <c r="H396" i="6" s="1"/>
  <c r="H385" i="6"/>
  <c r="U384" i="6" s="1"/>
  <c r="AG384" i="6" s="1"/>
  <c r="E431" i="6"/>
  <c r="H430" i="6"/>
  <c r="E519" i="6"/>
  <c r="H518" i="6"/>
  <c r="E521" i="6"/>
  <c r="E228" i="6"/>
  <c r="H228" i="6" s="1"/>
  <c r="H223" i="6"/>
  <c r="U222" i="6" s="1"/>
  <c r="E101" i="6" l="1"/>
  <c r="H100" i="6"/>
  <c r="U228" i="6"/>
  <c r="AG228" i="6" s="1"/>
  <c r="AG222" i="6"/>
  <c r="U396" i="6"/>
  <c r="AG396" i="6" s="1"/>
  <c r="U441" i="6"/>
  <c r="AG441" i="6" s="1"/>
  <c r="E522" i="6"/>
  <c r="H521" i="6"/>
  <c r="E520" i="6"/>
  <c r="H519" i="6"/>
  <c r="H431" i="6"/>
  <c r="U430" i="6" s="1"/>
  <c r="AG430" i="6" s="1"/>
  <c r="E442" i="6"/>
  <c r="H442" i="6" s="1"/>
  <c r="E477" i="6"/>
  <c r="H476" i="6"/>
  <c r="E487" i="6"/>
  <c r="H487" i="6" s="1"/>
  <c r="H474" i="6"/>
  <c r="U473" i="6" s="1"/>
  <c r="AG473" i="6" s="1"/>
  <c r="E102" i="6" l="1"/>
  <c r="H101" i="6"/>
  <c r="U442" i="6"/>
  <c r="AG442" i="6" s="1"/>
  <c r="U487" i="6"/>
  <c r="AG487" i="6" s="1"/>
  <c r="E488" i="6"/>
  <c r="H488" i="6" s="1"/>
  <c r="H477" i="6"/>
  <c r="U476" i="6" s="1"/>
  <c r="AG476" i="6" s="1"/>
  <c r="H520" i="6"/>
  <c r="U519" i="6" s="1"/>
  <c r="AG519" i="6" s="1"/>
  <c r="E533" i="6"/>
  <c r="H533" i="6" s="1"/>
  <c r="E523" i="6"/>
  <c r="H522" i="6"/>
  <c r="E103" i="6" l="1"/>
  <c r="H103" i="6" s="1"/>
  <c r="U103" i="6" s="1"/>
  <c r="AG103" i="6" s="1"/>
  <c r="H102" i="6"/>
  <c r="U101" i="6" s="1"/>
  <c r="AG101" i="6" s="1"/>
  <c r="U533" i="6"/>
  <c r="AG533" i="6" s="1"/>
  <c r="U488" i="6"/>
  <c r="AG488" i="6" s="1"/>
  <c r="E534" i="6"/>
  <c r="H534" i="6" s="1"/>
  <c r="H523" i="6"/>
  <c r="U522" i="6" s="1"/>
  <c r="AG522" i="6" s="1"/>
  <c r="U534" i="6" l="1"/>
  <c r="AG534" i="6" s="1"/>
</calcChain>
</file>

<file path=xl/sharedStrings.xml><?xml version="1.0" encoding="utf-8"?>
<sst xmlns="http://schemas.openxmlformats.org/spreadsheetml/2006/main" count="1253" uniqueCount="138">
  <si>
    <t>columns</t>
  </si>
  <si>
    <t>beam size</t>
  </si>
  <si>
    <t>origin</t>
  </si>
  <si>
    <t>eff. spans</t>
  </si>
  <si>
    <t>cl. Span</t>
  </si>
  <si>
    <t>over all length</t>
  </si>
  <si>
    <t>last column</t>
  </si>
  <si>
    <t>)</t>
  </si>
  <si>
    <t>No of span</t>
  </si>
  <si>
    <t>Cum. span</t>
  </si>
  <si>
    <t>Sl.no</t>
  </si>
  <si>
    <t>Col. Cut len</t>
  </si>
  <si>
    <t>Reinforcement</t>
  </si>
  <si>
    <t>Bar offset</t>
  </si>
  <si>
    <t>Fillet</t>
  </si>
  <si>
    <t xml:space="preserve"> "")</t>
  </si>
  <si>
    <t>Zoom</t>
  </si>
  <si>
    <t>Beam colour</t>
  </si>
  <si>
    <t>Bar colour</t>
  </si>
  <si>
    <t>"")</t>
  </si>
  <si>
    <t>(defun c:bb()</t>
  </si>
  <si>
    <t>Text</t>
  </si>
  <si>
    <t xml:space="preserve"> ""</t>
  </si>
  <si>
    <t xml:space="preserve"> "N"</t>
  </si>
  <si>
    <t>Dim lext ht</t>
  </si>
  <si>
    <t>leader ht</t>
  </si>
  <si>
    <t>leader wd</t>
  </si>
  <si>
    <t>"</t>
  </si>
  <si>
    <t xml:space="preserve"> "0"</t>
  </si>
  <si>
    <t xml:space="preserve"> "2L-8# @ 150 C/C" </t>
  </si>
  <si>
    <t xml:space="preserve"> "j"</t>
  </si>
  <si>
    <t xml:space="preserve"> "MC"</t>
  </si>
  <si>
    <t xml:space="preserve"> "ML"</t>
  </si>
  <si>
    <t>Dim point 1</t>
  </si>
  <si>
    <t>Dim point 2</t>
  </si>
  <si>
    <t>Dim position</t>
  </si>
  <si>
    <t>top leader pt -1</t>
  </si>
  <si>
    <t>top leader pt -2</t>
  </si>
  <si>
    <t>top leader pt -3</t>
  </si>
  <si>
    <t>bot.leader pt -1</t>
  </si>
  <si>
    <t>bot.leader pt -2</t>
  </si>
  <si>
    <t>bot.leader pt -3</t>
  </si>
  <si>
    <t>1st stir pt -1</t>
  </si>
  <si>
    <t>1st stir pt -2</t>
  </si>
  <si>
    <t>2nd stir pt-1</t>
  </si>
  <si>
    <t>2nd stir pt-2</t>
  </si>
  <si>
    <t>Stir offset</t>
  </si>
  <si>
    <t>bot beam pt 1</t>
  </si>
  <si>
    <t>bot beam pt 2</t>
  </si>
  <si>
    <t>bot beam pt 3</t>
  </si>
  <si>
    <t>bot beam pt 4</t>
  </si>
  <si>
    <t>top beam pt 4</t>
  </si>
  <si>
    <t>top beam pt 1</t>
  </si>
  <si>
    <t>top beam pt 2</t>
  </si>
  <si>
    <t>top beam pt 3</t>
  </si>
  <si>
    <t>text colour</t>
  </si>
  <si>
    <t>1st col pt 1</t>
  </si>
  <si>
    <t>1st col pt 2</t>
  </si>
  <si>
    <t>last col pt 1</t>
  </si>
  <si>
    <t>last col pt 2</t>
  </si>
  <si>
    <t>i</t>
  </si>
  <si>
    <t>Dimline</t>
  </si>
  <si>
    <t xml:space="preserve"> "2-16" </t>
  </si>
  <si>
    <t xml:space="preserve"> "2-16"</t>
  </si>
  <si>
    <t>top reinft pt 1</t>
  </si>
  <si>
    <t>top reinft pt 2</t>
  </si>
  <si>
    <t>top reinft pt 3</t>
  </si>
  <si>
    <t>top reinft pt 4</t>
  </si>
  <si>
    <t>bot reinft pt 1</t>
  </si>
  <si>
    <t>bot reinft pt 2</t>
  </si>
  <si>
    <t>bot reinft pt 3</t>
  </si>
  <si>
    <t>bot reinft pt 4</t>
  </si>
  <si>
    <t>Title lext ht</t>
  </si>
  <si>
    <t>(command "style"  "" "arial"</t>
  </si>
  <si>
    <t xml:space="preserve"> "%%uBEAM (230 X 450)"</t>
  </si>
  <si>
    <t>Title lext colour</t>
  </si>
  <si>
    <t>"white"</t>
  </si>
  <si>
    <t>(command "appload" D:\Lisp\Beam.lsp)</t>
  </si>
  <si>
    <t>(command "zoom" "E"))</t>
  </si>
  <si>
    <t>(command "line"</t>
  </si>
  <si>
    <t>(command "mirror" "w"</t>
  </si>
  <si>
    <t xml:space="preserve">(command "color" </t>
  </si>
  <si>
    <t>(command "dimlinear"</t>
  </si>
  <si>
    <t>(command "fillet"</t>
  </si>
  <si>
    <t>(command "leader"</t>
  </si>
  <si>
    <t>(command "zoom" "w"</t>
  </si>
  <si>
    <t>(command "text"</t>
  </si>
  <si>
    <t>(command "bb")</t>
  </si>
  <si>
    <t>Arrow size</t>
  </si>
  <si>
    <t xml:space="preserve">(command "dimasz" </t>
  </si>
  <si>
    <t>Extra bars @ top</t>
  </si>
  <si>
    <t>Extra bars @ Bot.</t>
  </si>
  <si>
    <t>Y</t>
  </si>
  <si>
    <t xml:space="preserve">(command "fillet" "r" </t>
  </si>
  <si>
    <t>Fillet rad</t>
  </si>
  <si>
    <t>span/10 =</t>
  </si>
  <si>
    <t>span/3 =</t>
  </si>
  <si>
    <t>Ext bot bar pt 1</t>
  </si>
  <si>
    <t>Ext bot bar pt 2</t>
  </si>
  <si>
    <t>Ext top bar pt 2</t>
  </si>
  <si>
    <t>Ext top bar pt 1</t>
  </si>
  <si>
    <t>Ext top bar pt 3</t>
  </si>
  <si>
    <t>Extra bars</t>
  </si>
  <si>
    <t xml:space="preserve">bt. Len = </t>
  </si>
  <si>
    <t>Bot. Leader pt 1</t>
  </si>
  <si>
    <t>Bot. Leader pt 2</t>
  </si>
  <si>
    <t>Bot. Leader pt 3</t>
  </si>
  <si>
    <t>leader slope</t>
  </si>
  <si>
    <t>h  =</t>
  </si>
  <si>
    <t>V  =</t>
  </si>
  <si>
    <t>Bot. Leader pt 4</t>
  </si>
  <si>
    <t>Text Stirrups</t>
  </si>
  <si>
    <t>Text Stirrups position</t>
  </si>
  <si>
    <t>Text Top Reinft</t>
  </si>
  <si>
    <t>Text Bot Reinft</t>
  </si>
  <si>
    <t>Top Bar</t>
  </si>
  <si>
    <t>Bot Bar</t>
  </si>
  <si>
    <t>Text stirrups</t>
  </si>
  <si>
    <t>span =</t>
  </si>
  <si>
    <t>Text bot Ext</t>
  </si>
  <si>
    <t>Text top Ext</t>
  </si>
  <si>
    <t>Title Text</t>
  </si>
  <si>
    <t>Top. Leader pt 1</t>
  </si>
  <si>
    <t>Top. Leader pt 2</t>
  </si>
  <si>
    <t>Top. Leader pt 3</t>
  </si>
  <si>
    <t>Top. Leader pt 4</t>
  </si>
  <si>
    <t>Top Ext Bar</t>
  </si>
  <si>
    <t>Bot Ext Bar</t>
  </si>
  <si>
    <t>Through Bars</t>
  </si>
  <si>
    <t>Left side</t>
  </si>
  <si>
    <t>Right side</t>
  </si>
  <si>
    <t>Extra Bars</t>
  </si>
  <si>
    <t>Ext top bar pt1</t>
  </si>
  <si>
    <t>Ext top bar pt2</t>
  </si>
  <si>
    <t>Right side End Span</t>
  </si>
  <si>
    <t>Ex.Top Bar pt 1</t>
  </si>
  <si>
    <t>Ex.Top Bar pt 2</t>
  </si>
  <si>
    <t>Right first span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</si>
</sst>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10"/>
      <name val="Arial Rounded MT Bold"/>
      <family val="2"/>
    </font>
    <font>
      <u/>
      <sz val="9.35"/>
      <color theme="1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43">
    <xf numFmtId="0" fontId="0" fillId="0" borderId="0" xfId="0"/>
    <xf numFmtId="0" fontId="0" fillId="0" borderId="0" xfId="0"/>
    <xf numFmtId="0" fontId="0" fillId="2" borderId="0" xfId="0" applyFill="1"/>
    <xf numFmtId="0" fontId="3" fillId="6" borderId="1" xfId="0" applyFont="1" applyFill="1" applyBorder="1"/>
    <xf numFmtId="0" fontId="6" fillId="0" borderId="0" xfId="0" applyFont="1"/>
    <xf numFmtId="17" fontId="0" fillId="0" borderId="0" xfId="0" applyNumberForma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10" borderId="0" xfId="0" applyFont="1" applyFill="1" applyBorder="1"/>
    <xf numFmtId="0" fontId="3" fillId="10" borderId="0" xfId="0" applyFont="1" applyFill="1" applyBorder="1" applyAlignment="1">
      <alignment horizontal="center"/>
    </xf>
    <xf numFmtId="0" fontId="9" fillId="10" borderId="0" xfId="0" applyFont="1" applyFill="1"/>
    <xf numFmtId="0" fontId="8" fillId="10" borderId="0" xfId="0" applyFont="1" applyFill="1"/>
    <xf numFmtId="0" fontId="1" fillId="10" borderId="0" xfId="0" applyFont="1" applyFill="1"/>
    <xf numFmtId="0" fontId="1" fillId="10" borderId="0" xfId="0" applyFont="1" applyFill="1" applyAlignment="1">
      <alignment horizontal="left"/>
    </xf>
    <xf numFmtId="0" fontId="2" fillId="10" borderId="0" xfId="0" applyFont="1" applyFill="1"/>
    <xf numFmtId="0" fontId="7" fillId="10" borderId="0" xfId="0" applyFont="1" applyFill="1"/>
    <xf numFmtId="0" fontId="6" fillId="10" borderId="0" xfId="0" applyFont="1" applyFill="1"/>
    <xf numFmtId="0" fontId="3" fillId="13" borderId="1" xfId="0" applyFont="1" applyFill="1" applyBorder="1"/>
    <xf numFmtId="0" fontId="3" fillId="13" borderId="1" xfId="0" applyFont="1" applyFill="1" applyBorder="1" applyAlignment="1">
      <alignment horizontal="center"/>
    </xf>
    <xf numFmtId="0" fontId="0" fillId="14" borderId="0" xfId="0" applyFill="1"/>
    <xf numFmtId="0" fontId="3" fillId="12" borderId="0" xfId="0" applyFont="1" applyFill="1" applyBorder="1" applyAlignment="1">
      <alignment horizontal="center"/>
    </xf>
    <xf numFmtId="0" fontId="3" fillId="12" borderId="0" xfId="0" applyFont="1" applyFill="1" applyBorder="1"/>
    <xf numFmtId="0" fontId="9" fillId="12" borderId="0" xfId="0" applyFont="1" applyFill="1"/>
    <xf numFmtId="0" fontId="8" fillId="12" borderId="0" xfId="0" applyFont="1" applyFill="1"/>
    <xf numFmtId="0" fontId="2" fillId="12" borderId="0" xfId="0" applyFont="1" applyFill="1"/>
    <xf numFmtId="0" fontId="6" fillId="12" borderId="0" xfId="0" applyFont="1" applyFill="1"/>
    <xf numFmtId="0" fontId="4" fillId="12" borderId="0" xfId="0" applyFont="1" applyFill="1"/>
    <xf numFmtId="0" fontId="1" fillId="12" borderId="0" xfId="0" applyFont="1" applyFill="1"/>
    <xf numFmtId="0" fontId="7" fillId="12" borderId="0" xfId="0" applyFont="1" applyFill="1"/>
    <xf numFmtId="0" fontId="0" fillId="15" borderId="0" xfId="0" applyFill="1"/>
    <xf numFmtId="0" fontId="0" fillId="0" borderId="0" xfId="0" applyFill="1"/>
    <xf numFmtId="0" fontId="5" fillId="7" borderId="1" xfId="0" applyFont="1" applyFill="1" applyBorder="1" applyProtection="1"/>
    <xf numFmtId="0" fontId="0" fillId="0" borderId="0" xfId="0" applyBorder="1" applyAlignment="1">
      <alignment horizontal="center"/>
    </xf>
    <xf numFmtId="0" fontId="11" fillId="0" borderId="0" xfId="1" applyAlignment="1" applyProtection="1"/>
    <xf numFmtId="0" fontId="4" fillId="2" borderId="0" xfId="0" applyFont="1" applyFill="1" applyProtection="1"/>
    <xf numFmtId="0" fontId="3" fillId="5" borderId="1" xfId="0" applyFont="1" applyFill="1" applyBorder="1" applyAlignment="1">
      <alignment horizontal="center"/>
    </xf>
    <xf numFmtId="164" fontId="1" fillId="12" borderId="0" xfId="0" applyNumberFormat="1" applyFont="1" applyFill="1"/>
    <xf numFmtId="0" fontId="0" fillId="0" borderId="0" xfId="0" applyFill="1" applyAlignment="1">
      <alignment horizontal="right"/>
    </xf>
    <xf numFmtId="0" fontId="4" fillId="0" borderId="0" xfId="0" applyFont="1" applyFill="1"/>
    <xf numFmtId="0" fontId="0" fillId="0" borderId="0" xfId="0" applyFill="1" applyProtection="1">
      <protection locked="0"/>
    </xf>
    <xf numFmtId="0" fontId="1" fillId="16" borderId="0" xfId="0" applyFont="1" applyFill="1"/>
    <xf numFmtId="0" fontId="3" fillId="5" borderId="1" xfId="0" applyFont="1" applyFill="1" applyBorder="1" applyAlignment="1">
      <alignment horizontal="center"/>
    </xf>
    <xf numFmtId="0" fontId="12" fillId="0" borderId="8" xfId="0" applyFont="1" applyBorder="1" applyAlignment="1">
      <alignment horizontal="center" vertical="center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3" fillId="5" borderId="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6" borderId="1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center"/>
    </xf>
    <xf numFmtId="0" fontId="14" fillId="12" borderId="0" xfId="0" applyFont="1" applyFill="1" applyBorder="1"/>
    <xf numFmtId="0" fontId="15" fillId="12" borderId="0" xfId="0" applyFont="1" applyFill="1"/>
    <xf numFmtId="0" fontId="15" fillId="17" borderId="0" xfId="0" applyFont="1" applyFill="1"/>
    <xf numFmtId="0" fontId="16" fillId="12" borderId="0" xfId="0" applyFont="1" applyFill="1"/>
    <xf numFmtId="0" fontId="17" fillId="12" borderId="0" xfId="0" applyFont="1" applyFill="1"/>
    <xf numFmtId="16" fontId="0" fillId="12" borderId="0" xfId="0" applyNumberFormat="1" applyFill="1"/>
    <xf numFmtId="0" fontId="14" fillId="10" borderId="0" xfId="0" applyFont="1" applyFill="1" applyBorder="1"/>
    <xf numFmtId="0" fontId="18" fillId="10" borderId="0" xfId="0" applyFont="1" applyFill="1" applyBorder="1"/>
    <xf numFmtId="0" fontId="14" fillId="12" borderId="12" xfId="0" applyFont="1" applyFill="1" applyBorder="1" applyAlignment="1">
      <alignment horizontal="left"/>
    </xf>
    <xf numFmtId="0" fontId="14" fillId="12" borderId="13" xfId="0" applyFont="1" applyFill="1" applyBorder="1"/>
    <xf numFmtId="0" fontId="3" fillId="12" borderId="13" xfId="0" applyFont="1" applyFill="1" applyBorder="1" applyAlignment="1">
      <alignment horizontal="center"/>
    </xf>
    <xf numFmtId="0" fontId="0" fillId="12" borderId="13" xfId="0" applyFill="1" applyBorder="1"/>
    <xf numFmtId="0" fontId="8" fillId="12" borderId="13" xfId="0" applyFont="1" applyFill="1" applyBorder="1"/>
    <xf numFmtId="0" fontId="8" fillId="12" borderId="14" xfId="0" applyFont="1" applyFill="1" applyBorder="1"/>
    <xf numFmtId="0" fontId="14" fillId="12" borderId="15" xfId="0" applyFont="1" applyFill="1" applyBorder="1" applyAlignment="1">
      <alignment horizontal="left"/>
    </xf>
    <xf numFmtId="0" fontId="15" fillId="12" borderId="0" xfId="0" applyFont="1" applyFill="1" applyBorder="1"/>
    <xf numFmtId="0" fontId="8" fillId="12" borderId="8" xfId="0" applyFont="1" applyFill="1" applyBorder="1"/>
    <xf numFmtId="0" fontId="16" fillId="12" borderId="0" xfId="0" applyFont="1" applyFill="1" applyBorder="1"/>
    <xf numFmtId="0" fontId="18" fillId="12" borderId="15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center" vertical="center" textRotation="90"/>
    </xf>
    <xf numFmtId="0" fontId="17" fillId="12" borderId="0" xfId="0" applyFont="1" applyFill="1" applyBorder="1"/>
    <xf numFmtId="0" fontId="14" fillId="12" borderId="15" xfId="0" applyFont="1" applyFill="1" applyBorder="1" applyAlignment="1">
      <alignment horizontal="center"/>
    </xf>
    <xf numFmtId="16" fontId="0" fillId="12" borderId="15" xfId="0" applyNumberFormat="1" applyFill="1" applyBorder="1"/>
    <xf numFmtId="0" fontId="0" fillId="12" borderId="0" xfId="0" applyFill="1" applyBorder="1"/>
    <xf numFmtId="16" fontId="0" fillId="12" borderId="16" xfId="0" applyNumberFormat="1" applyFill="1" applyBorder="1"/>
    <xf numFmtId="0" fontId="0" fillId="12" borderId="17" xfId="0" applyFill="1" applyBorder="1"/>
    <xf numFmtId="0" fontId="3" fillId="12" borderId="17" xfId="0" applyFont="1" applyFill="1" applyBorder="1" applyAlignment="1">
      <alignment horizontal="center"/>
    </xf>
    <xf numFmtId="0" fontId="12" fillId="2" borderId="17" xfId="0" applyFont="1" applyFill="1" applyBorder="1" applyAlignment="1">
      <alignment horizontal="center" vertical="center" textRotation="90"/>
    </xf>
    <xf numFmtId="0" fontId="17" fillId="12" borderId="17" xfId="0" applyFont="1" applyFill="1" applyBorder="1"/>
    <xf numFmtId="0" fontId="8" fillId="12" borderId="18" xfId="0" applyFont="1" applyFill="1" applyBorder="1"/>
    <xf numFmtId="0" fontId="19" fillId="16" borderId="0" xfId="0" applyFont="1" applyFill="1"/>
    <xf numFmtId="0" fontId="4" fillId="10" borderId="0" xfId="0" applyFont="1" applyFill="1"/>
    <xf numFmtId="0" fontId="17" fillId="10" borderId="0" xfId="0" applyFont="1" applyFill="1"/>
    <xf numFmtId="0" fontId="7" fillId="10" borderId="0" xfId="0" applyFont="1" applyFill="1" applyBorder="1"/>
    <xf numFmtId="0" fontId="17" fillId="10" borderId="0" xfId="0" applyFont="1" applyFill="1" applyBorder="1"/>
    <xf numFmtId="0" fontId="8" fillId="10" borderId="8" xfId="0" applyFont="1" applyFill="1" applyBorder="1"/>
    <xf numFmtId="0" fontId="15" fillId="10" borderId="0" xfId="0" applyFont="1" applyFill="1" applyBorder="1"/>
    <xf numFmtId="0" fontId="7" fillId="10" borderId="17" xfId="0" applyFont="1" applyFill="1" applyBorder="1"/>
    <xf numFmtId="0" fontId="17" fillId="10" borderId="17" xfId="0" applyFont="1" applyFill="1" applyBorder="1"/>
    <xf numFmtId="0" fontId="8" fillId="10" borderId="18" xfId="0" applyFont="1" applyFill="1" applyBorder="1"/>
    <xf numFmtId="0" fontId="14" fillId="10" borderId="0" xfId="0" applyFont="1" applyFill="1"/>
    <xf numFmtId="0" fontId="12" fillId="2" borderId="0" xfId="0" applyFont="1" applyFill="1" applyBorder="1" applyAlignment="1">
      <alignment horizontal="center" vertical="center" textRotation="90"/>
    </xf>
    <xf numFmtId="0" fontId="1" fillId="8" borderId="0" xfId="0" applyFont="1" applyFill="1"/>
    <xf numFmtId="0" fontId="21" fillId="10" borderId="0" xfId="0" applyFont="1" applyFill="1"/>
    <xf numFmtId="0" fontId="15" fillId="0" borderId="0" xfId="0" applyFont="1" applyFill="1"/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5" fillId="3" borderId="1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13" fillId="4" borderId="1" xfId="0" applyFont="1" applyFill="1" applyBorder="1" applyAlignment="1" applyProtection="1">
      <alignment horizontal="center" vertical="center"/>
    </xf>
    <xf numFmtId="0" fontId="1" fillId="3" borderId="20" xfId="0" applyFont="1" applyFill="1" applyBorder="1" applyAlignment="1" applyProtection="1">
      <alignment horizontal="center" vertical="center"/>
      <protection locked="0"/>
    </xf>
    <xf numFmtId="0" fontId="1" fillId="3" borderId="7" xfId="0" applyFont="1" applyFill="1" applyBorder="1" applyAlignment="1" applyProtection="1">
      <alignment horizontal="center" vertical="center"/>
      <protection locked="0"/>
    </xf>
    <xf numFmtId="0" fontId="1" fillId="3" borderId="21" xfId="0" applyFont="1" applyFill="1" applyBorder="1" applyAlignment="1" applyProtection="1">
      <alignment horizontal="center" vertical="center"/>
      <protection locked="0"/>
    </xf>
    <xf numFmtId="0" fontId="3" fillId="5" borderId="22" xfId="0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 wrapText="1"/>
    </xf>
    <xf numFmtId="0" fontId="3" fillId="5" borderId="23" xfId="0" applyFont="1" applyFill="1" applyBorder="1" applyAlignment="1">
      <alignment vertical="center"/>
    </xf>
    <xf numFmtId="0" fontId="3" fillId="5" borderId="24" xfId="0" applyFont="1" applyFill="1" applyBorder="1" applyAlignment="1">
      <alignment horizontal="center" vertical="center"/>
    </xf>
    <xf numFmtId="0" fontId="3" fillId="5" borderId="25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1" fillId="3" borderId="9" xfId="0" applyFont="1" applyFill="1" applyBorder="1" applyAlignment="1" applyProtection="1">
      <alignment horizontal="center" vertical="center"/>
      <protection locked="0"/>
    </xf>
    <xf numFmtId="0" fontId="1" fillId="3" borderId="4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0" fontId="1" fillId="3" borderId="19" xfId="0" applyFont="1" applyFill="1" applyBorder="1" applyAlignment="1" applyProtection="1">
      <alignment horizontal="center" vertical="center"/>
      <protection locked="0"/>
    </xf>
    <xf numFmtId="0" fontId="0" fillId="16" borderId="0" xfId="0" applyFill="1" applyAlignment="1">
      <alignment horizontal="center" vertical="center" textRotation="90"/>
    </xf>
    <xf numFmtId="0" fontId="12" fillId="0" borderId="0" xfId="0" applyFont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textRotation="90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0" fillId="10" borderId="0" xfId="0" applyFont="1" applyFill="1" applyAlignment="1">
      <alignment horizontal="center" vertical="center" textRotation="90"/>
    </xf>
    <xf numFmtId="0" fontId="16" fillId="12" borderId="0" xfId="0" applyFont="1" applyFill="1" applyBorder="1" applyAlignment="1">
      <alignment horizontal="center" vertical="center"/>
    </xf>
    <xf numFmtId="0" fontId="16" fillId="12" borderId="13" xfId="0" applyFont="1" applyFill="1" applyBorder="1" applyAlignment="1">
      <alignment horizontal="center" vertical="center"/>
    </xf>
    <xf numFmtId="0" fontId="16" fillId="12" borderId="14" xfId="0" applyFont="1" applyFill="1" applyBorder="1" applyAlignment="1">
      <alignment horizontal="center" vertical="center"/>
    </xf>
    <xf numFmtId="0" fontId="16" fillId="12" borderId="8" xfId="0" applyFont="1" applyFill="1" applyBorder="1" applyAlignment="1">
      <alignment horizontal="center" vertical="center"/>
    </xf>
    <xf numFmtId="0" fontId="17" fillId="12" borderId="13" xfId="0" applyFont="1" applyFill="1" applyBorder="1" applyAlignment="1">
      <alignment horizontal="center" vertical="center"/>
    </xf>
    <xf numFmtId="0" fontId="17" fillId="12" borderId="14" xfId="0" applyFont="1" applyFill="1" applyBorder="1" applyAlignment="1">
      <alignment horizontal="center" vertical="center"/>
    </xf>
    <xf numFmtId="0" fontId="17" fillId="12" borderId="17" xfId="0" applyFont="1" applyFill="1" applyBorder="1" applyAlignment="1">
      <alignment horizontal="center" vertical="center"/>
    </xf>
    <xf numFmtId="0" fontId="17" fillId="12" borderId="1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963705</xdr:colOff>
      <xdr:row>79</xdr:row>
      <xdr:rowOff>22412</xdr:rowOff>
    </xdr:from>
    <xdr:to>
      <xdr:col>9</xdr:col>
      <xdr:colOff>145675</xdr:colOff>
      <xdr:row>82</xdr:row>
      <xdr:rowOff>11206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01970" y="15430500"/>
          <a:ext cx="235323" cy="560294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963705</xdr:colOff>
      <xdr:row>95</xdr:row>
      <xdr:rowOff>22412</xdr:rowOff>
    </xdr:from>
    <xdr:to>
      <xdr:col>9</xdr:col>
      <xdr:colOff>145675</xdr:colOff>
      <xdr:row>103</xdr:row>
      <xdr:rowOff>11206</xdr:rowOff>
    </xdr:to>
    <xdr:sp macro="" textlink="">
      <xdr:nvSpPr>
        <xdr:cNvPr id="5" name="Right Brac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801970" y="15430500"/>
          <a:ext cx="235323" cy="560294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169</xdr:row>
      <xdr:rowOff>22412</xdr:rowOff>
    </xdr:from>
    <xdr:to>
      <xdr:col>9</xdr:col>
      <xdr:colOff>100851</xdr:colOff>
      <xdr:row>170</xdr:row>
      <xdr:rowOff>78441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8352" y="32004000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171</xdr:row>
      <xdr:rowOff>22412</xdr:rowOff>
    </xdr:from>
    <xdr:to>
      <xdr:col>9</xdr:col>
      <xdr:colOff>100851</xdr:colOff>
      <xdr:row>172</xdr:row>
      <xdr:rowOff>78441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768352" y="32004000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215</xdr:row>
      <xdr:rowOff>22412</xdr:rowOff>
    </xdr:from>
    <xdr:to>
      <xdr:col>9</xdr:col>
      <xdr:colOff>100851</xdr:colOff>
      <xdr:row>216</xdr:row>
      <xdr:rowOff>78441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768352" y="32004000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217</xdr:row>
      <xdr:rowOff>22412</xdr:rowOff>
    </xdr:from>
    <xdr:to>
      <xdr:col>9</xdr:col>
      <xdr:colOff>100851</xdr:colOff>
      <xdr:row>218</xdr:row>
      <xdr:rowOff>78441</xdr:rowOff>
    </xdr:to>
    <xdr:sp macro="" textlink="">
      <xdr:nvSpPr>
        <xdr:cNvPr id="8" name="Right Brac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768352" y="32385000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261</xdr:row>
      <xdr:rowOff>22412</xdr:rowOff>
    </xdr:from>
    <xdr:to>
      <xdr:col>9</xdr:col>
      <xdr:colOff>100851</xdr:colOff>
      <xdr:row>262</xdr:row>
      <xdr:rowOff>78441</xdr:rowOff>
    </xdr:to>
    <xdr:sp macro="" textlink="">
      <xdr:nvSpPr>
        <xdr:cNvPr id="9" name="Right Brac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768352" y="40923883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263</xdr:row>
      <xdr:rowOff>22412</xdr:rowOff>
    </xdr:from>
    <xdr:to>
      <xdr:col>9</xdr:col>
      <xdr:colOff>100851</xdr:colOff>
      <xdr:row>264</xdr:row>
      <xdr:rowOff>78441</xdr:rowOff>
    </xdr:to>
    <xdr:sp macro="" textlink="">
      <xdr:nvSpPr>
        <xdr:cNvPr id="10" name="Right Brac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768352" y="41304883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308</xdr:row>
      <xdr:rowOff>22412</xdr:rowOff>
    </xdr:from>
    <xdr:to>
      <xdr:col>9</xdr:col>
      <xdr:colOff>100851</xdr:colOff>
      <xdr:row>309</xdr:row>
      <xdr:rowOff>78441</xdr:rowOff>
    </xdr:to>
    <xdr:sp macro="" textlink="">
      <xdr:nvSpPr>
        <xdr:cNvPr id="11" name="Right Brac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68352" y="49765324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310</xdr:row>
      <xdr:rowOff>22412</xdr:rowOff>
    </xdr:from>
    <xdr:to>
      <xdr:col>9</xdr:col>
      <xdr:colOff>100851</xdr:colOff>
      <xdr:row>311</xdr:row>
      <xdr:rowOff>78441</xdr:rowOff>
    </xdr:to>
    <xdr:sp macro="" textlink="">
      <xdr:nvSpPr>
        <xdr:cNvPr id="12" name="Right Brac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768352" y="50146324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354</xdr:row>
      <xdr:rowOff>22412</xdr:rowOff>
    </xdr:from>
    <xdr:to>
      <xdr:col>9</xdr:col>
      <xdr:colOff>100851</xdr:colOff>
      <xdr:row>355</xdr:row>
      <xdr:rowOff>78441</xdr:rowOff>
    </xdr:to>
    <xdr:sp macro="" textlink="">
      <xdr:nvSpPr>
        <xdr:cNvPr id="13" name="Right Brac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768352" y="58797265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356</xdr:row>
      <xdr:rowOff>22412</xdr:rowOff>
    </xdr:from>
    <xdr:to>
      <xdr:col>9</xdr:col>
      <xdr:colOff>100851</xdr:colOff>
      <xdr:row>357</xdr:row>
      <xdr:rowOff>78441</xdr:rowOff>
    </xdr:to>
    <xdr:sp macro="" textlink="">
      <xdr:nvSpPr>
        <xdr:cNvPr id="14" name="Righ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768352" y="59178265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400</xdr:row>
      <xdr:rowOff>22412</xdr:rowOff>
    </xdr:from>
    <xdr:to>
      <xdr:col>9</xdr:col>
      <xdr:colOff>100851</xdr:colOff>
      <xdr:row>401</xdr:row>
      <xdr:rowOff>78441</xdr:rowOff>
    </xdr:to>
    <xdr:sp macro="" textlink="">
      <xdr:nvSpPr>
        <xdr:cNvPr id="17" name="Right Brac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768352" y="67638706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402</xdr:row>
      <xdr:rowOff>22412</xdr:rowOff>
    </xdr:from>
    <xdr:to>
      <xdr:col>9</xdr:col>
      <xdr:colOff>100851</xdr:colOff>
      <xdr:row>403</xdr:row>
      <xdr:rowOff>78441</xdr:rowOff>
    </xdr:to>
    <xdr:sp macro="" textlink="">
      <xdr:nvSpPr>
        <xdr:cNvPr id="18" name="Right Brac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768352" y="68019706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446</xdr:row>
      <xdr:rowOff>22412</xdr:rowOff>
    </xdr:from>
    <xdr:to>
      <xdr:col>9</xdr:col>
      <xdr:colOff>100851</xdr:colOff>
      <xdr:row>447</xdr:row>
      <xdr:rowOff>78441</xdr:rowOff>
    </xdr:to>
    <xdr:sp macro="" textlink="">
      <xdr:nvSpPr>
        <xdr:cNvPr id="19" name="Right Brac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6768352" y="76480147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448</xdr:row>
      <xdr:rowOff>22412</xdr:rowOff>
    </xdr:from>
    <xdr:to>
      <xdr:col>9</xdr:col>
      <xdr:colOff>100851</xdr:colOff>
      <xdr:row>449</xdr:row>
      <xdr:rowOff>78441</xdr:rowOff>
    </xdr:to>
    <xdr:sp macro="" textlink="">
      <xdr:nvSpPr>
        <xdr:cNvPr id="20" name="Right Brac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768352" y="76861147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492</xdr:row>
      <xdr:rowOff>22412</xdr:rowOff>
    </xdr:from>
    <xdr:to>
      <xdr:col>9</xdr:col>
      <xdr:colOff>100851</xdr:colOff>
      <xdr:row>493</xdr:row>
      <xdr:rowOff>78441</xdr:rowOff>
    </xdr:to>
    <xdr:sp macro="" textlink="">
      <xdr:nvSpPr>
        <xdr:cNvPr id="21" name="Right Brac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768352" y="85321588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494</xdr:row>
      <xdr:rowOff>22412</xdr:rowOff>
    </xdr:from>
    <xdr:to>
      <xdr:col>9</xdr:col>
      <xdr:colOff>100851</xdr:colOff>
      <xdr:row>495</xdr:row>
      <xdr:rowOff>78441</xdr:rowOff>
    </xdr:to>
    <xdr:sp macro="" textlink="">
      <xdr:nvSpPr>
        <xdr:cNvPr id="22" name="Right Brac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768352" y="85702588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538</xdr:row>
      <xdr:rowOff>22412</xdr:rowOff>
    </xdr:from>
    <xdr:to>
      <xdr:col>9</xdr:col>
      <xdr:colOff>100851</xdr:colOff>
      <xdr:row>539</xdr:row>
      <xdr:rowOff>78441</xdr:rowOff>
    </xdr:to>
    <xdr:sp macro="" textlink="">
      <xdr:nvSpPr>
        <xdr:cNvPr id="23" name="Right Brac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768352" y="94084588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930087</xdr:colOff>
      <xdr:row>540</xdr:row>
      <xdr:rowOff>22412</xdr:rowOff>
    </xdr:from>
    <xdr:to>
      <xdr:col>9</xdr:col>
      <xdr:colOff>100851</xdr:colOff>
      <xdr:row>541</xdr:row>
      <xdr:rowOff>78441</xdr:rowOff>
    </xdr:to>
    <xdr:sp macro="" textlink="">
      <xdr:nvSpPr>
        <xdr:cNvPr id="24" name="Right Brac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768352" y="94465588"/>
          <a:ext cx="224117" cy="246529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9</xdr:col>
      <xdr:colOff>235323</xdr:colOff>
      <xdr:row>94</xdr:row>
      <xdr:rowOff>156883</xdr:rowOff>
    </xdr:to>
    <xdr:sp macro="" textlink="">
      <xdr:nvSpPr>
        <xdr:cNvPr id="25" name="Right Brac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891618" y="17884588"/>
          <a:ext cx="235323" cy="34738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971550</xdr:colOff>
          <xdr:row>3</xdr:row>
          <xdr:rowOff>19050</xdr:rowOff>
        </xdr:from>
        <xdr:to>
          <xdr:col>9</xdr:col>
          <xdr:colOff>266700</xdr:colOff>
          <xdr:row>4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FF0000"/>
                  </a:solidFill>
                  <a:latin typeface="Arial Rounded MT Bold"/>
                </a:rPr>
                <a:t>Save as Lisp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2:AG620"/>
  <sheetViews>
    <sheetView tabSelected="1" zoomScale="85" zoomScaleNormal="85" workbookViewId="0">
      <selection activeCell="H13" sqref="H13"/>
    </sheetView>
  </sheetViews>
  <sheetFormatPr defaultRowHeight="15" x14ac:dyDescent="0.25"/>
  <cols>
    <col min="1" max="1" width="9.140625" style="1"/>
    <col min="2" max="2" width="11.28515625" style="1" customWidth="1"/>
    <col min="3" max="4" width="9.140625" style="1"/>
    <col min="5" max="6" width="11.140625" style="1" customWidth="1"/>
    <col min="7" max="7" width="10.42578125" style="1" customWidth="1"/>
    <col min="8" max="8" width="16.42578125" style="1" bestFit="1" customWidth="1"/>
    <col min="9" max="9" width="15.85546875" style="1" customWidth="1"/>
    <col min="10" max="11" width="15.42578125" style="1" customWidth="1"/>
    <col min="12" max="12" width="13.85546875" style="1" bestFit="1" customWidth="1"/>
    <col min="13" max="13" width="7.7109375" style="1" customWidth="1"/>
    <col min="14" max="14" width="4" style="1" bestFit="1" customWidth="1"/>
    <col min="15" max="17" width="9.140625" style="1" customWidth="1"/>
    <col min="18" max="20" width="9.140625" style="1" hidden="1" customWidth="1"/>
    <col min="21" max="21" width="29.140625" style="1" hidden="1" customWidth="1"/>
    <col min="22" max="22" width="20.85546875" style="1" hidden="1" customWidth="1"/>
    <col min="23" max="23" width="13.85546875" style="1" hidden="1" customWidth="1"/>
    <col min="24" max="28" width="9.140625" style="1" hidden="1" customWidth="1"/>
    <col min="29" max="29" width="9.140625" style="35" hidden="1" customWidth="1"/>
    <col min="30" max="30" width="31.85546875" style="35" hidden="1" customWidth="1"/>
    <col min="31" max="32" width="0" style="1" hidden="1" customWidth="1"/>
    <col min="33" max="33" width="39.28515625" style="45" hidden="1" customWidth="1"/>
    <col min="34" max="37" width="0" style="1" hidden="1" customWidth="1"/>
    <col min="38" max="16384" width="9.140625" style="1"/>
  </cols>
  <sheetData>
    <row r="2" spans="2:23" x14ac:dyDescent="0.25">
      <c r="T2" s="1" t="s">
        <v>79</v>
      </c>
      <c r="V2" s="35"/>
      <c r="W2" s="35" t="s">
        <v>19</v>
      </c>
    </row>
    <row r="3" spans="2:23" x14ac:dyDescent="0.25">
      <c r="T3" s="1" t="s">
        <v>80</v>
      </c>
      <c r="V3" s="35"/>
      <c r="W3" s="35"/>
    </row>
    <row r="4" spans="2:23" ht="21.75" customHeight="1" x14ac:dyDescent="0.25">
      <c r="D4" s="128" t="s">
        <v>8</v>
      </c>
      <c r="E4" s="128"/>
      <c r="F4" s="47"/>
      <c r="G4" s="48">
        <v>3</v>
      </c>
    </row>
    <row r="5" spans="2:23" ht="15.75" thickBot="1" x14ac:dyDescent="0.3"/>
    <row r="6" spans="2:23" ht="34.5" customHeight="1" thickBot="1" x14ac:dyDescent="0.3">
      <c r="B6" s="132" t="s">
        <v>2</v>
      </c>
      <c r="C6" s="133"/>
      <c r="D6" s="116" t="s">
        <v>10</v>
      </c>
      <c r="E6" s="117" t="s">
        <v>3</v>
      </c>
      <c r="F6" s="118" t="s">
        <v>91</v>
      </c>
      <c r="G6" s="119" t="s">
        <v>9</v>
      </c>
      <c r="H6" s="120" t="s">
        <v>0</v>
      </c>
      <c r="I6" s="121" t="s">
        <v>90</v>
      </c>
      <c r="J6" s="58"/>
      <c r="K6" s="58"/>
      <c r="L6" s="57" t="s">
        <v>6</v>
      </c>
      <c r="M6" s="36">
        <f>VLOOKUP(V22+1,D7:H17,5)</f>
        <v>500</v>
      </c>
      <c r="O6" s="1" t="s">
        <v>4</v>
      </c>
      <c r="V6" s="39">
        <f>AD55</f>
        <v>0</v>
      </c>
    </row>
    <row r="7" spans="2:23" x14ac:dyDescent="0.25">
      <c r="B7" s="105">
        <v>0</v>
      </c>
      <c r="C7" s="106">
        <v>0</v>
      </c>
      <c r="D7" s="122">
        <v>1</v>
      </c>
      <c r="E7" s="123">
        <v>7000</v>
      </c>
      <c r="F7" s="124" t="s">
        <v>92</v>
      </c>
      <c r="G7" s="125">
        <f>E7</f>
        <v>7000</v>
      </c>
      <c r="H7" s="123">
        <v>500</v>
      </c>
      <c r="I7" s="126" t="s">
        <v>92</v>
      </c>
      <c r="L7" s="3" t="s">
        <v>5</v>
      </c>
      <c r="M7" s="36">
        <f>$B$7+H7/2+(VLOOKUP(V22,D7:G16,4)+M6/2)</f>
        <v>18500</v>
      </c>
      <c r="O7" s="1">
        <f t="shared" ref="O7:O16" si="0">IF(E7&gt;0,E7-(H7+H8)/2,"")</f>
        <v>6500</v>
      </c>
    </row>
    <row r="8" spans="2:23" x14ac:dyDescent="0.25">
      <c r="B8" s="53"/>
      <c r="C8" s="53"/>
      <c r="D8" s="51">
        <v>2</v>
      </c>
      <c r="E8" s="109">
        <v>5000</v>
      </c>
      <c r="F8" s="108" t="s">
        <v>92</v>
      </c>
      <c r="G8" s="52">
        <f t="shared" ref="G8:G10" si="1">G7+E8</f>
        <v>12000</v>
      </c>
      <c r="H8" s="107">
        <v>500</v>
      </c>
      <c r="I8" s="113" t="s">
        <v>92</v>
      </c>
      <c r="J8" s="38"/>
      <c r="K8" s="38"/>
      <c r="O8" s="1">
        <f t="shared" si="0"/>
        <v>4500</v>
      </c>
      <c r="V8" s="1" t="s">
        <v>77</v>
      </c>
    </row>
    <row r="9" spans="2:23" x14ac:dyDescent="0.25">
      <c r="B9" s="132" t="s">
        <v>1</v>
      </c>
      <c r="C9" s="133"/>
      <c r="D9" s="51">
        <v>3</v>
      </c>
      <c r="E9" s="109">
        <v>6000</v>
      </c>
      <c r="F9" s="108" t="s">
        <v>92</v>
      </c>
      <c r="G9" s="52">
        <f t="shared" si="1"/>
        <v>18000</v>
      </c>
      <c r="H9" s="109">
        <v>500</v>
      </c>
      <c r="I9" s="113" t="s">
        <v>92</v>
      </c>
      <c r="L9" s="40" t="s">
        <v>17</v>
      </c>
      <c r="M9" s="111">
        <v>1</v>
      </c>
      <c r="O9" s="1">
        <f t="shared" si="0"/>
        <v>5750</v>
      </c>
      <c r="V9" s="1" t="s">
        <v>87</v>
      </c>
    </row>
    <row r="10" spans="2:23" ht="15.75" thickBot="1" x14ac:dyDescent="0.3">
      <c r="B10" s="105">
        <v>300</v>
      </c>
      <c r="C10" s="106">
        <v>450</v>
      </c>
      <c r="D10" s="55"/>
      <c r="E10" s="110"/>
      <c r="F10" s="114"/>
      <c r="G10" s="56">
        <f t="shared" si="1"/>
        <v>18000</v>
      </c>
      <c r="H10" s="110"/>
      <c r="I10" s="115" t="s">
        <v>92</v>
      </c>
      <c r="L10" s="40" t="s">
        <v>18</v>
      </c>
      <c r="M10" s="111">
        <v>2</v>
      </c>
      <c r="O10" s="1" t="str">
        <f t="shared" si="0"/>
        <v/>
      </c>
    </row>
    <row r="11" spans="2:23" x14ac:dyDescent="0.25">
      <c r="B11" s="53"/>
      <c r="C11" s="53"/>
      <c r="L11" s="40" t="s">
        <v>55</v>
      </c>
      <c r="M11" s="111">
        <v>3</v>
      </c>
      <c r="O11" s="1" t="str">
        <f t="shared" si="0"/>
        <v/>
      </c>
    </row>
    <row r="12" spans="2:23" x14ac:dyDescent="0.25">
      <c r="B12" s="54" t="s">
        <v>11</v>
      </c>
      <c r="C12" s="105">
        <v>500</v>
      </c>
      <c r="L12" s="40" t="s">
        <v>25</v>
      </c>
      <c r="M12" s="111">
        <v>300</v>
      </c>
      <c r="O12" s="1" t="str">
        <f t="shared" si="0"/>
        <v/>
      </c>
    </row>
    <row r="13" spans="2:23" x14ac:dyDescent="0.25">
      <c r="B13" s="53"/>
      <c r="C13" s="53"/>
      <c r="L13" s="40" t="s">
        <v>26</v>
      </c>
      <c r="M13" s="111">
        <v>200</v>
      </c>
      <c r="O13" s="1" t="str">
        <f t="shared" si="0"/>
        <v/>
      </c>
    </row>
    <row r="14" spans="2:23" x14ac:dyDescent="0.25">
      <c r="B14" s="54" t="s">
        <v>13</v>
      </c>
      <c r="C14" s="105">
        <v>75</v>
      </c>
      <c r="L14" s="46" t="s">
        <v>88</v>
      </c>
      <c r="M14" s="111">
        <v>75</v>
      </c>
      <c r="O14" s="1" t="str">
        <f t="shared" si="0"/>
        <v/>
      </c>
    </row>
    <row r="15" spans="2:23" x14ac:dyDescent="0.25">
      <c r="B15" s="54" t="s">
        <v>46</v>
      </c>
      <c r="C15" s="105">
        <v>500</v>
      </c>
      <c r="L15" s="40" t="s">
        <v>24</v>
      </c>
      <c r="M15" s="111">
        <v>100</v>
      </c>
      <c r="O15" s="1" t="str">
        <f t="shared" si="0"/>
        <v/>
      </c>
    </row>
    <row r="16" spans="2:23" x14ac:dyDescent="0.25">
      <c r="B16" s="54" t="s">
        <v>94</v>
      </c>
      <c r="C16" s="105">
        <v>40</v>
      </c>
      <c r="L16" s="40" t="s">
        <v>72</v>
      </c>
      <c r="M16" s="111">
        <v>150</v>
      </c>
      <c r="O16" s="1" t="str">
        <f t="shared" si="0"/>
        <v/>
      </c>
    </row>
    <row r="17" spans="2:33" x14ac:dyDescent="0.25">
      <c r="B17" s="53"/>
      <c r="C17" s="53"/>
      <c r="L17" s="40" t="s">
        <v>75</v>
      </c>
      <c r="M17" s="111" t="s">
        <v>76</v>
      </c>
      <c r="U17" s="1" t="str">
        <f>IF(E17&gt;0,E17-(H17+H19)/2,"")</f>
        <v/>
      </c>
    </row>
    <row r="18" spans="2:33" x14ac:dyDescent="0.25">
      <c r="D18" s="37"/>
      <c r="E18" s="49"/>
      <c r="F18" s="49"/>
      <c r="G18" s="50"/>
      <c r="H18" s="49"/>
    </row>
    <row r="22" spans="2:33" ht="18.75" x14ac:dyDescent="0.25">
      <c r="D22" s="4"/>
      <c r="V22" s="112">
        <f>IF(G4&lt;=3,G4,NA)</f>
        <v>3</v>
      </c>
    </row>
    <row r="23" spans="2:33" x14ac:dyDescent="0.25">
      <c r="D23" s="4"/>
    </row>
    <row r="24" spans="2:33" hidden="1" x14ac:dyDescent="0.25">
      <c r="D24" s="4"/>
    </row>
    <row r="25" spans="2:33" hidden="1" x14ac:dyDescent="0.25">
      <c r="D25" s="4"/>
    </row>
    <row r="26" spans="2:33" hidden="1" x14ac:dyDescent="0.25">
      <c r="D26" s="4"/>
      <c r="U26" s="1" t="s">
        <v>81</v>
      </c>
      <c r="AG26" s="90" t="s">
        <v>20</v>
      </c>
    </row>
    <row r="27" spans="2:33" hidden="1" x14ac:dyDescent="0.25">
      <c r="D27" s="4"/>
      <c r="U27" s="7" t="str">
        <f>CONCATENATE(U26,M17,V27)</f>
        <v>(command "color" "white" "")</v>
      </c>
      <c r="V27" s="1" t="s">
        <v>15</v>
      </c>
      <c r="AG27" s="90" t="str">
        <f>U27</f>
        <v>(command "color" "white" "")</v>
      </c>
    </row>
    <row r="28" spans="2:33" hidden="1" x14ac:dyDescent="0.25">
      <c r="D28" s="4"/>
      <c r="U28" s="1" t="s">
        <v>7</v>
      </c>
      <c r="AG28" s="90"/>
    </row>
    <row r="29" spans="2:33" hidden="1" x14ac:dyDescent="0.25">
      <c r="D29" s="21"/>
      <c r="U29" s="1" t="s">
        <v>73</v>
      </c>
      <c r="AG29" s="90"/>
    </row>
    <row r="30" spans="2:33" hidden="1" x14ac:dyDescent="0.25">
      <c r="D30" s="4"/>
      <c r="U30" s="7" t="s">
        <v>22</v>
      </c>
      <c r="AG30" s="90"/>
    </row>
    <row r="31" spans="2:33" hidden="1" x14ac:dyDescent="0.25">
      <c r="D31" s="4"/>
      <c r="U31" s="7" t="str">
        <f>CONCATENATE(U29,U30,U30,U30,U30,U30,U30,U28)</f>
        <v>(command "style"  "" "arial" "" "" "" "" "" "")</v>
      </c>
      <c r="AG31" s="90" t="str">
        <f>U31</f>
        <v>(command "style"  "" "arial" "" "" "" "" "" "")</v>
      </c>
    </row>
    <row r="32" spans="2:33" hidden="1" x14ac:dyDescent="0.25">
      <c r="D32" s="4"/>
      <c r="AG32" s="90"/>
    </row>
    <row r="33" spans="1:33" hidden="1" x14ac:dyDescent="0.25">
      <c r="D33" s="4"/>
      <c r="U33" s="1" t="s">
        <v>81</v>
      </c>
      <c r="V33" s="1" t="s">
        <v>15</v>
      </c>
      <c r="AG33" s="90"/>
    </row>
    <row r="34" spans="1:33" hidden="1" x14ac:dyDescent="0.25">
      <c r="A34" s="8"/>
      <c r="B34" s="134" t="s">
        <v>128</v>
      </c>
      <c r="C34" s="8"/>
      <c r="D34" s="21" t="s">
        <v>12</v>
      </c>
      <c r="E34" s="8"/>
      <c r="F34" s="8"/>
      <c r="G34" s="8"/>
      <c r="H34" s="8"/>
      <c r="I34" s="8"/>
      <c r="J34" s="8"/>
      <c r="K34" s="8"/>
      <c r="U34" s="7" t="str">
        <f>CONCATENATE(U33,$M$10,V33)</f>
        <v>(command "color" 2 "")</v>
      </c>
      <c r="AG34" s="90" t="str">
        <f t="shared" ref="AG34:AG130" si="2">U34</f>
        <v>(command "color" 2 "")</v>
      </c>
    </row>
    <row r="35" spans="1:33" hidden="1" x14ac:dyDescent="0.25">
      <c r="A35" s="8"/>
      <c r="B35" s="134"/>
      <c r="C35" s="8"/>
      <c r="D35" s="130">
        <v>1</v>
      </c>
      <c r="E35" s="19">
        <f>B7+C14</f>
        <v>75</v>
      </c>
      <c r="F35" s="19"/>
      <c r="G35" s="19">
        <f>C7-C12/2</f>
        <v>-250</v>
      </c>
      <c r="H35" s="19" t="str">
        <f t="shared" ref="H35:H42" si="3">CONCATENATE(" (list ",E35," ",G35," ",")")</f>
        <v xml:space="preserve"> (list 75 -250 )</v>
      </c>
      <c r="I35" s="8" t="s">
        <v>64</v>
      </c>
      <c r="J35" s="8"/>
      <c r="K35" s="8"/>
      <c r="U35" s="7" t="str">
        <f>CONCATENATE($T$2,H35,H36,H37,H38,,$W$2)</f>
        <v>(command "line" (list 75 -250 ) (list 75 375 ) (list 18425 375 ) (list 18425 -250 )"")</v>
      </c>
      <c r="AG35" s="90" t="str">
        <f t="shared" si="2"/>
        <v>(command "line" (list 75 -250 ) (list 75 375 ) (list 18425 375 ) (list 18425 -250 )"")</v>
      </c>
    </row>
    <row r="36" spans="1:33" hidden="1" x14ac:dyDescent="0.25">
      <c r="A36" s="8"/>
      <c r="B36" s="134"/>
      <c r="C36" s="8"/>
      <c r="D36" s="130"/>
      <c r="E36" s="19">
        <f>E35</f>
        <v>75</v>
      </c>
      <c r="F36" s="19"/>
      <c r="G36" s="19">
        <f>C7+C10-C14</f>
        <v>375</v>
      </c>
      <c r="H36" s="19" t="str">
        <f t="shared" si="3"/>
        <v xml:space="preserve"> (list 75 375 )</v>
      </c>
      <c r="I36" s="8" t="s">
        <v>65</v>
      </c>
      <c r="J36" s="8"/>
      <c r="K36" s="8"/>
      <c r="AG36" s="90"/>
    </row>
    <row r="37" spans="1:33" hidden="1" x14ac:dyDescent="0.25">
      <c r="A37" s="8"/>
      <c r="B37" s="134"/>
      <c r="C37" s="8"/>
      <c r="D37" s="130"/>
      <c r="E37" s="19">
        <f>M7-C14</f>
        <v>18425</v>
      </c>
      <c r="F37" s="19"/>
      <c r="G37" s="19">
        <f>G36</f>
        <v>375</v>
      </c>
      <c r="H37" s="19" t="str">
        <f t="shared" si="3"/>
        <v xml:space="preserve"> (list 18425 375 )</v>
      </c>
      <c r="I37" s="8" t="s">
        <v>66</v>
      </c>
      <c r="J37" s="8"/>
      <c r="K37" s="8"/>
      <c r="AG37" s="90"/>
    </row>
    <row r="38" spans="1:33" hidden="1" x14ac:dyDescent="0.25">
      <c r="A38" s="8"/>
      <c r="B38" s="134"/>
      <c r="C38" s="8"/>
      <c r="D38" s="130"/>
      <c r="E38" s="19">
        <f>E37</f>
        <v>18425</v>
      </c>
      <c r="F38" s="19"/>
      <c r="G38" s="19">
        <f>G35</f>
        <v>-250</v>
      </c>
      <c r="H38" s="19" t="str">
        <f t="shared" si="3"/>
        <v xml:space="preserve"> (list 18425 -250 )</v>
      </c>
      <c r="I38" s="8" t="s">
        <v>67</v>
      </c>
      <c r="J38" s="8"/>
      <c r="K38" s="8"/>
      <c r="AG38" s="90"/>
    </row>
    <row r="39" spans="1:33" hidden="1" x14ac:dyDescent="0.25">
      <c r="A39" s="8"/>
      <c r="B39" s="134"/>
      <c r="C39" s="8"/>
      <c r="D39" s="131">
        <v>2</v>
      </c>
      <c r="E39" s="17">
        <f>E35+C14</f>
        <v>150</v>
      </c>
      <c r="F39" s="17"/>
      <c r="G39" s="17">
        <f>C7+C10-C14*2</f>
        <v>300</v>
      </c>
      <c r="H39" s="17" t="str">
        <f t="shared" si="3"/>
        <v xml:space="preserve"> (list 150 300 )</v>
      </c>
      <c r="I39" s="8" t="s">
        <v>68</v>
      </c>
      <c r="J39" s="8"/>
      <c r="K39" s="8"/>
      <c r="U39" s="34" t="str">
        <f>CONCATENATE($T$2,H39,H40,H41,H42,$W$2)</f>
        <v>(command "line" (list 150 300 ) (list 150 75 ) (list 18350 75 ) (list 18350 300 )"")</v>
      </c>
      <c r="AG39" s="90" t="str">
        <f t="shared" si="2"/>
        <v>(command "line" (list 150 300 ) (list 150 75 ) (list 18350 75 ) (list 18350 300 )"")</v>
      </c>
    </row>
    <row r="40" spans="1:33" hidden="1" x14ac:dyDescent="0.25">
      <c r="A40" s="8"/>
      <c r="B40" s="134"/>
      <c r="C40" s="8"/>
      <c r="D40" s="131"/>
      <c r="E40" s="17">
        <f>E39</f>
        <v>150</v>
      </c>
      <c r="F40" s="17"/>
      <c r="G40" s="17">
        <f>C7+C14</f>
        <v>75</v>
      </c>
      <c r="H40" s="17" t="str">
        <f t="shared" si="3"/>
        <v xml:space="preserve"> (list 150 75 )</v>
      </c>
      <c r="I40" s="8" t="s">
        <v>69</v>
      </c>
      <c r="J40" s="8"/>
      <c r="K40" s="8"/>
      <c r="AG40" s="90"/>
    </row>
    <row r="41" spans="1:33" hidden="1" x14ac:dyDescent="0.25">
      <c r="A41" s="8"/>
      <c r="B41" s="134"/>
      <c r="C41" s="8"/>
      <c r="D41" s="131"/>
      <c r="E41" s="17">
        <f>E37-C14</f>
        <v>18350</v>
      </c>
      <c r="F41" s="17"/>
      <c r="G41" s="17">
        <f>G40</f>
        <v>75</v>
      </c>
      <c r="H41" s="17" t="str">
        <f t="shared" si="3"/>
        <v xml:space="preserve"> (list 18350 75 )</v>
      </c>
      <c r="I41" s="8" t="s">
        <v>70</v>
      </c>
      <c r="J41" s="8"/>
      <c r="K41" s="8"/>
      <c r="AG41" s="90"/>
    </row>
    <row r="42" spans="1:33" hidden="1" x14ac:dyDescent="0.25">
      <c r="A42" s="8"/>
      <c r="B42" s="134"/>
      <c r="C42" s="8"/>
      <c r="D42" s="131"/>
      <c r="E42" s="17">
        <f>E41</f>
        <v>18350</v>
      </c>
      <c r="F42" s="17"/>
      <c r="G42" s="17">
        <f>G39</f>
        <v>300</v>
      </c>
      <c r="H42" s="17" t="str">
        <f t="shared" si="3"/>
        <v xml:space="preserve"> (list 18350 300 )</v>
      </c>
      <c r="I42" s="8" t="s">
        <v>71</v>
      </c>
      <c r="J42" s="8"/>
      <c r="K42" s="8"/>
      <c r="U42" s="1" t="s">
        <v>85</v>
      </c>
      <c r="AG42" s="90"/>
    </row>
    <row r="43" spans="1:33" hidden="1" x14ac:dyDescent="0.25">
      <c r="A43" s="8"/>
      <c r="B43" s="134"/>
      <c r="C43" s="8"/>
      <c r="D43" s="8"/>
      <c r="E43" s="8"/>
      <c r="F43" s="8"/>
      <c r="G43" s="8"/>
      <c r="H43" s="8"/>
      <c r="I43" s="8"/>
      <c r="J43" s="8"/>
      <c r="K43" s="8"/>
      <c r="U43" s="1" t="s">
        <v>93</v>
      </c>
      <c r="V43" s="1" t="s">
        <v>15</v>
      </c>
      <c r="AG43" s="90"/>
    </row>
    <row r="44" spans="1:33" hidden="1" x14ac:dyDescent="0.25">
      <c r="A44" s="8"/>
      <c r="B44" s="134"/>
      <c r="C44" s="8"/>
      <c r="D44" s="21" t="s">
        <v>14</v>
      </c>
      <c r="E44" s="8"/>
      <c r="F44" s="8"/>
      <c r="G44" s="8"/>
      <c r="H44" s="8"/>
      <c r="I44" s="8"/>
      <c r="J44" s="8"/>
      <c r="K44" s="8"/>
      <c r="U44" s="1" t="s">
        <v>83</v>
      </c>
      <c r="V44" s="1" t="s">
        <v>7</v>
      </c>
      <c r="AG44" s="90"/>
    </row>
    <row r="45" spans="1:33" hidden="1" x14ac:dyDescent="0.25">
      <c r="A45" s="8"/>
      <c r="B45" s="134"/>
      <c r="C45" s="8"/>
      <c r="D45" s="8">
        <v>1</v>
      </c>
      <c r="E45" s="8">
        <f>E35</f>
        <v>75</v>
      </c>
      <c r="F45" s="8"/>
      <c r="G45" s="8">
        <f>C7</f>
        <v>0</v>
      </c>
      <c r="H45" s="17" t="str">
        <f t="shared" ref="H45:H49" si="4">CONCATENATE(" (list ",E45," ",G45," ",")")</f>
        <v xml:space="preserve"> (list 75 0 )</v>
      </c>
      <c r="I45" s="8"/>
      <c r="J45" s="8"/>
      <c r="K45" s="8"/>
      <c r="U45" s="34" t="str">
        <f>CONCATENATE($U$42,H48,H49,$V$44)</f>
        <v>(command "zoom" "w" (list -100 -600 ) (list 700 550 ))</v>
      </c>
      <c r="AG45" s="90" t="str">
        <f t="shared" si="2"/>
        <v>(command "zoom" "w" (list -100 -600 ) (list 700 550 ))</v>
      </c>
    </row>
    <row r="46" spans="1:33" hidden="1" x14ac:dyDescent="0.25">
      <c r="A46" s="8"/>
      <c r="B46" s="134"/>
      <c r="C46" s="8"/>
      <c r="D46" s="8"/>
      <c r="E46" s="8">
        <f>E45+H7</f>
        <v>575</v>
      </c>
      <c r="F46" s="8"/>
      <c r="G46" s="8">
        <f>G36</f>
        <v>375</v>
      </c>
      <c r="H46" s="17" t="str">
        <f t="shared" si="4"/>
        <v xml:space="preserve"> (list 575 375 )</v>
      </c>
      <c r="I46" s="8"/>
      <c r="J46" s="8"/>
      <c r="K46" s="8"/>
      <c r="U46" s="34" t="str">
        <f>CONCATENATE($U$43,$C$16,$V$43)</f>
        <v>(command "fillet" "r" 40 "")</v>
      </c>
      <c r="AG46" s="90" t="str">
        <f t="shared" si="2"/>
        <v>(command "fillet" "r" 40 "")</v>
      </c>
    </row>
    <row r="47" spans="1:33" hidden="1" x14ac:dyDescent="0.25">
      <c r="A47" s="8"/>
      <c r="B47" s="134"/>
      <c r="C47" s="8"/>
      <c r="D47" s="8"/>
      <c r="E47" s="8" t="s">
        <v>16</v>
      </c>
      <c r="F47" s="8"/>
      <c r="G47" s="8"/>
      <c r="H47" s="8"/>
      <c r="I47" s="8"/>
      <c r="J47" s="8"/>
      <c r="K47" s="8"/>
      <c r="U47" s="34" t="str">
        <f>CONCATENATE($U$44,H45,H46,$V$43)</f>
        <v>(command "fillet" (list 75 0 ) (list 575 375 ) "")</v>
      </c>
      <c r="AG47" s="90" t="str">
        <f t="shared" si="2"/>
        <v>(command "fillet" (list 75 0 ) (list 575 375 ) "")</v>
      </c>
    </row>
    <row r="48" spans="1:33" hidden="1" x14ac:dyDescent="0.25">
      <c r="A48" s="8"/>
      <c r="B48" s="134"/>
      <c r="C48" s="8"/>
      <c r="D48" s="8"/>
      <c r="E48" s="8">
        <f>B7-100</f>
        <v>-100</v>
      </c>
      <c r="F48" s="8"/>
      <c r="G48" s="8">
        <f>C7-C12-100</f>
        <v>-600</v>
      </c>
      <c r="H48" s="17" t="str">
        <f t="shared" si="4"/>
        <v xml:space="preserve"> (list -100 -600 )</v>
      </c>
      <c r="I48" s="8"/>
      <c r="J48" s="8"/>
      <c r="K48" s="8"/>
      <c r="AG48" s="90"/>
    </row>
    <row r="49" spans="1:33" hidden="1" x14ac:dyDescent="0.25">
      <c r="A49" s="8"/>
      <c r="B49" s="134"/>
      <c r="C49" s="8"/>
      <c r="D49" s="8"/>
      <c r="E49" s="8">
        <f>B7+H7+200</f>
        <v>700</v>
      </c>
      <c r="F49" s="8"/>
      <c r="G49" s="8">
        <f>C7+C10+100</f>
        <v>550</v>
      </c>
      <c r="H49" s="17" t="str">
        <f t="shared" si="4"/>
        <v xml:space="preserve"> (list 700 550 )</v>
      </c>
      <c r="I49" s="8"/>
      <c r="J49" s="8"/>
      <c r="K49" s="8"/>
      <c r="U49" s="34" t="str">
        <f>CONCATENATE($U$42,H54,H55,$V$43)</f>
        <v>(command "zoom" "w" (list -100 -600 ) (list 700 550 ) "")</v>
      </c>
      <c r="AG49" s="90" t="str">
        <f t="shared" si="2"/>
        <v>(command "zoom" "w" (list -100 -600 ) (list 700 550 ) "")</v>
      </c>
    </row>
    <row r="50" spans="1:33" hidden="1" x14ac:dyDescent="0.25">
      <c r="A50" s="8"/>
      <c r="B50" s="134"/>
      <c r="C50" s="8"/>
      <c r="D50" s="8"/>
      <c r="E50" s="8"/>
      <c r="F50" s="8"/>
      <c r="G50" s="8"/>
      <c r="H50" s="8"/>
      <c r="I50" s="8"/>
      <c r="J50" s="8"/>
      <c r="K50" s="8"/>
      <c r="U50" s="34" t="str">
        <f>CONCATENATE($U$43,$C$16,$V$43)</f>
        <v>(command "fillet" "r" 40 "")</v>
      </c>
      <c r="AG50" s="90" t="str">
        <f t="shared" si="2"/>
        <v>(command "fillet" "r" 40 "")</v>
      </c>
    </row>
    <row r="51" spans="1:33" hidden="1" x14ac:dyDescent="0.25">
      <c r="A51" s="8"/>
      <c r="B51" s="134"/>
      <c r="C51" s="8"/>
      <c r="D51" s="8">
        <v>2</v>
      </c>
      <c r="E51" s="8">
        <f>E45+C14</f>
        <v>150</v>
      </c>
      <c r="F51" s="8"/>
      <c r="G51" s="8">
        <f>C7+C14</f>
        <v>75</v>
      </c>
      <c r="H51" s="17" t="str">
        <f t="shared" ref="H51:H52" si="5">CONCATENATE(" (list ",E51," ",G51," ",")")</f>
        <v xml:space="preserve"> (list 150 75 )</v>
      </c>
      <c r="I51" s="8"/>
      <c r="J51" s="8"/>
      <c r="K51" s="8"/>
      <c r="U51" s="34" t="str">
        <f>CONCATENATE($U$44,H51,H52,$V$43)</f>
        <v>(command "fillet" (list 150 75 ) (list 575 75 ) "")</v>
      </c>
      <c r="AG51" s="90" t="str">
        <f t="shared" si="2"/>
        <v>(command "fillet" (list 150 75 ) (list 575 75 ) "")</v>
      </c>
    </row>
    <row r="52" spans="1:33" hidden="1" x14ac:dyDescent="0.25">
      <c r="A52" s="8"/>
      <c r="B52" s="134"/>
      <c r="C52" s="8"/>
      <c r="D52" s="8"/>
      <c r="E52" s="8">
        <f>E46</f>
        <v>575</v>
      </c>
      <c r="F52" s="8"/>
      <c r="G52" s="8">
        <f>C7+C14</f>
        <v>75</v>
      </c>
      <c r="H52" s="17" t="str">
        <f t="shared" si="5"/>
        <v xml:space="preserve"> (list 575 75 )</v>
      </c>
      <c r="I52" s="8"/>
      <c r="J52" s="8"/>
      <c r="K52" s="8"/>
      <c r="AG52" s="90"/>
    </row>
    <row r="53" spans="1:33" hidden="1" x14ac:dyDescent="0.25">
      <c r="A53" s="8"/>
      <c r="B53" s="134"/>
      <c r="C53" s="8"/>
      <c r="D53" s="8"/>
      <c r="E53" s="8" t="s">
        <v>16</v>
      </c>
      <c r="F53" s="8"/>
      <c r="G53" s="8"/>
      <c r="H53" s="8"/>
      <c r="I53" s="8"/>
      <c r="J53" s="8"/>
      <c r="K53" s="8"/>
      <c r="U53" s="1" t="s">
        <v>89</v>
      </c>
      <c r="V53" s="1" t="s">
        <v>15</v>
      </c>
      <c r="AG53" s="90"/>
    </row>
    <row r="54" spans="1:33" hidden="1" x14ac:dyDescent="0.25">
      <c r="A54" s="8"/>
      <c r="B54" s="134"/>
      <c r="C54" s="8"/>
      <c r="D54" s="8"/>
      <c r="E54" s="8">
        <f>E48</f>
        <v>-100</v>
      </c>
      <c r="F54" s="8"/>
      <c r="G54" s="8">
        <f>G48</f>
        <v>-600</v>
      </c>
      <c r="H54" s="17" t="str">
        <f t="shared" ref="H54:H55" si="6">CONCATENATE(" (list ",E54," ",G54," ",")")</f>
        <v xml:space="preserve"> (list -100 -600 )</v>
      </c>
      <c r="I54" s="8"/>
      <c r="J54" s="8"/>
      <c r="K54" s="8"/>
      <c r="U54" s="2" t="str">
        <f>CONCATENATE(U53,$M$14,V53)</f>
        <v>(command "dimasz" 75 "")</v>
      </c>
      <c r="AG54" s="90" t="str">
        <f>U54</f>
        <v>(command "dimasz" 75 "")</v>
      </c>
    </row>
    <row r="55" spans="1:33" hidden="1" x14ac:dyDescent="0.25">
      <c r="A55" s="8"/>
      <c r="B55" s="134"/>
      <c r="C55" s="8"/>
      <c r="D55" s="8"/>
      <c r="E55" s="8">
        <f>E49</f>
        <v>700</v>
      </c>
      <c r="F55" s="8"/>
      <c r="G55" s="8">
        <f>G49</f>
        <v>550</v>
      </c>
      <c r="H55" s="17" t="str">
        <f t="shared" si="6"/>
        <v xml:space="preserve"> (list 700 550 )</v>
      </c>
      <c r="I55" s="8"/>
      <c r="J55" s="8"/>
      <c r="K55" s="8"/>
      <c r="AD55" s="44"/>
      <c r="AG55" s="90"/>
    </row>
    <row r="56" spans="1:33" hidden="1" x14ac:dyDescent="0.25">
      <c r="A56" s="8"/>
      <c r="B56" s="134"/>
      <c r="C56" s="8"/>
      <c r="D56" s="8"/>
      <c r="E56" s="8"/>
      <c r="F56" s="8"/>
      <c r="G56" s="8"/>
      <c r="H56" s="8"/>
      <c r="I56" s="8"/>
      <c r="J56" s="8"/>
      <c r="K56" s="8"/>
      <c r="AG56" s="90"/>
    </row>
    <row r="57" spans="1:33" hidden="1" x14ac:dyDescent="0.25">
      <c r="A57" s="8"/>
      <c r="B57" s="134"/>
      <c r="C57" s="8"/>
      <c r="D57" s="8">
        <v>3</v>
      </c>
      <c r="E57" s="8">
        <f>M7-C14</f>
        <v>18425</v>
      </c>
      <c r="F57" s="8"/>
      <c r="G57" s="8">
        <f>G45</f>
        <v>0</v>
      </c>
      <c r="H57" s="17" t="str">
        <f t="shared" ref="H57:H58" si="7">CONCATENATE(" (list ",E57," ",G57," ",")")</f>
        <v xml:space="preserve"> (list 18425 0 )</v>
      </c>
      <c r="I57" s="8"/>
      <c r="J57" s="8"/>
      <c r="K57" s="8"/>
      <c r="U57" s="34" t="str">
        <f>CONCATENATE($U$42,H60,H61,$V$43)</f>
        <v>(command "zoom" "w" (list 18575 -600 ) (list 17800 550 ) "")</v>
      </c>
      <c r="AG57" s="90" t="str">
        <f t="shared" si="2"/>
        <v>(command "zoom" "w" (list 18575 -600 ) (list 17800 550 ) "")</v>
      </c>
    </row>
    <row r="58" spans="1:33" hidden="1" x14ac:dyDescent="0.25">
      <c r="A58" s="8"/>
      <c r="B58" s="134"/>
      <c r="C58" s="8"/>
      <c r="D58" s="8"/>
      <c r="E58" s="8">
        <f>E57-M6</f>
        <v>17925</v>
      </c>
      <c r="F58" s="8"/>
      <c r="G58" s="8">
        <f>G46</f>
        <v>375</v>
      </c>
      <c r="H58" s="17" t="str">
        <f t="shared" si="7"/>
        <v xml:space="preserve"> (list 17925 375 )</v>
      </c>
      <c r="I58" s="8"/>
      <c r="J58" s="8"/>
      <c r="K58" s="8"/>
      <c r="U58" s="34" t="str">
        <f>CONCATENATE($U$43,$V$43)</f>
        <v>(command "fillet" "r"  "")</v>
      </c>
      <c r="AG58" s="90" t="str">
        <f t="shared" si="2"/>
        <v>(command "fillet" "r"  "")</v>
      </c>
    </row>
    <row r="59" spans="1:33" hidden="1" x14ac:dyDescent="0.25">
      <c r="A59" s="8"/>
      <c r="B59" s="134"/>
      <c r="C59" s="8"/>
      <c r="D59" s="8"/>
      <c r="E59" s="8" t="s">
        <v>16</v>
      </c>
      <c r="F59" s="8"/>
      <c r="G59" s="8"/>
      <c r="H59" s="8"/>
      <c r="I59" s="8"/>
      <c r="J59" s="8"/>
      <c r="K59" s="8"/>
      <c r="U59" s="34" t="str">
        <f>CONCATENATE($U$44,H57,H58,$V$43)</f>
        <v>(command "fillet" (list 18425 0 ) (list 17925 375 ) "")</v>
      </c>
      <c r="AG59" s="90" t="str">
        <f t="shared" si="2"/>
        <v>(command "fillet" (list 18425 0 ) (list 17925 375 ) "")</v>
      </c>
    </row>
    <row r="60" spans="1:33" hidden="1" x14ac:dyDescent="0.25">
      <c r="A60" s="8"/>
      <c r="B60" s="134"/>
      <c r="C60" s="8"/>
      <c r="D60" s="8"/>
      <c r="E60" s="8">
        <f>M7+C14</f>
        <v>18575</v>
      </c>
      <c r="F60" s="8"/>
      <c r="G60" s="8">
        <f>G48</f>
        <v>-600</v>
      </c>
      <c r="H60" s="17" t="str">
        <f t="shared" ref="H60:H64" si="8">CONCATENATE(" (list ",E60," ",G60," ",")")</f>
        <v xml:space="preserve"> (list 18575 -600 )</v>
      </c>
      <c r="I60" s="8"/>
      <c r="J60" s="8"/>
      <c r="K60" s="8"/>
      <c r="AG60" s="90"/>
    </row>
    <row r="61" spans="1:33" hidden="1" x14ac:dyDescent="0.25">
      <c r="A61" s="8"/>
      <c r="B61" s="134"/>
      <c r="C61" s="8"/>
      <c r="D61" s="8"/>
      <c r="E61" s="8">
        <f>M7-100-M6-100</f>
        <v>17800</v>
      </c>
      <c r="F61" s="8"/>
      <c r="G61" s="8">
        <f>G49</f>
        <v>550</v>
      </c>
      <c r="H61" s="17" t="str">
        <f t="shared" si="8"/>
        <v xml:space="preserve"> (list 17800 550 )</v>
      </c>
      <c r="I61" s="8"/>
      <c r="J61" s="8"/>
      <c r="K61" s="8"/>
      <c r="U61" s="34" t="str">
        <f>CONCATENATE($U$42,H60,H61,$V$43)</f>
        <v>(command "zoom" "w" (list 18575 -600 ) (list 17800 550 ) "")</v>
      </c>
      <c r="AG61" s="90" t="str">
        <f t="shared" si="2"/>
        <v>(command "zoom" "w" (list 18575 -600 ) (list 17800 550 ) "")</v>
      </c>
    </row>
    <row r="62" spans="1:33" hidden="1" x14ac:dyDescent="0.25">
      <c r="A62" s="8"/>
      <c r="B62" s="134"/>
      <c r="C62" s="8"/>
      <c r="D62" s="8"/>
      <c r="E62" s="8"/>
      <c r="F62" s="8"/>
      <c r="G62" s="8"/>
      <c r="H62" s="8"/>
      <c r="I62" s="8"/>
      <c r="J62" s="8"/>
      <c r="K62" s="8"/>
      <c r="U62" s="34" t="str">
        <f>CONCATENATE($U$43,$C$16,$V$43)</f>
        <v>(command "fillet" "r" 40 "")</v>
      </c>
      <c r="AG62" s="90" t="str">
        <f t="shared" si="2"/>
        <v>(command "fillet" "r" 40 "")</v>
      </c>
    </row>
    <row r="63" spans="1:33" hidden="1" x14ac:dyDescent="0.25">
      <c r="A63" s="8"/>
      <c r="B63" s="134"/>
      <c r="C63" s="8"/>
      <c r="D63" s="8">
        <v>4</v>
      </c>
      <c r="E63" s="8">
        <f>M7-C14*2</f>
        <v>18350</v>
      </c>
      <c r="F63" s="8"/>
      <c r="G63" s="8">
        <f>G51</f>
        <v>75</v>
      </c>
      <c r="H63" s="17" t="str">
        <f t="shared" si="8"/>
        <v xml:space="preserve"> (list 18350 75 )</v>
      </c>
      <c r="I63" s="8"/>
      <c r="J63" s="8"/>
      <c r="K63" s="8"/>
      <c r="U63" s="34" t="str">
        <f>CONCATENATE($U$44,H63,H64,$V$43)</f>
        <v>(command "fillet" (list 18350 75 ) (list 17875 75 ) "")</v>
      </c>
      <c r="AG63" s="90" t="str">
        <f t="shared" si="2"/>
        <v>(command "fillet" (list 18350 75 ) (list 17875 75 ) "")</v>
      </c>
    </row>
    <row r="64" spans="1:33" s="8" customFormat="1" hidden="1" x14ac:dyDescent="0.25">
      <c r="B64" s="134"/>
      <c r="E64" s="8">
        <f>E61+C14</f>
        <v>17875</v>
      </c>
      <c r="G64" s="8">
        <f>G52</f>
        <v>75</v>
      </c>
      <c r="H64" s="17" t="str">
        <f t="shared" si="8"/>
        <v xml:space="preserve"> (list 17875 75 )</v>
      </c>
      <c r="AC64" s="42"/>
      <c r="AD64" s="43"/>
      <c r="AG64" s="90"/>
    </row>
    <row r="65" spans="1:33" hidden="1" x14ac:dyDescent="0.25">
      <c r="D65" s="4"/>
      <c r="AG65" s="90"/>
    </row>
    <row r="66" spans="1:33" hidden="1" x14ac:dyDescent="0.25">
      <c r="D66" s="4"/>
      <c r="AG66" s="90"/>
    </row>
    <row r="67" spans="1:33" hidden="1" x14ac:dyDescent="0.25">
      <c r="A67" s="25"/>
      <c r="B67" s="26"/>
      <c r="C67" s="25"/>
      <c r="D67" s="10">
        <v>1</v>
      </c>
      <c r="E67" s="27">
        <f>$B$7+$H$7</f>
        <v>500</v>
      </c>
      <c r="F67" s="27"/>
      <c r="G67" s="27">
        <f>$C$7-$C$12</f>
        <v>-500</v>
      </c>
      <c r="H67" s="27" t="str">
        <f t="shared" ref="H67:H113" si="9">CONCATENATE(" (list ",E67," ",G67," ",")")</f>
        <v xml:space="preserve"> (list 500 -500 )</v>
      </c>
      <c r="I67" s="27" t="s">
        <v>47</v>
      </c>
      <c r="J67" s="27"/>
      <c r="K67" s="27"/>
      <c r="U67" s="1" t="s">
        <v>81</v>
      </c>
      <c r="V67" s="1" t="s">
        <v>15</v>
      </c>
      <c r="AG67" s="90"/>
    </row>
    <row r="68" spans="1:33" hidden="1" x14ac:dyDescent="0.25">
      <c r="A68" s="25"/>
      <c r="B68" s="26"/>
      <c r="C68" s="25"/>
      <c r="D68" s="10"/>
      <c r="E68" s="27">
        <f>E67</f>
        <v>500</v>
      </c>
      <c r="F68" s="27"/>
      <c r="G68" s="27">
        <f>$C$7</f>
        <v>0</v>
      </c>
      <c r="H68" s="27" t="str">
        <f t="shared" si="9"/>
        <v xml:space="preserve"> (list 500 0 )</v>
      </c>
      <c r="I68" s="27" t="s">
        <v>48</v>
      </c>
      <c r="J68" s="27"/>
      <c r="K68" s="27"/>
      <c r="U68" s="7" t="str">
        <f>CONCATENATE(U67,$M$9,V67)</f>
        <v>(command "color" 1 "")</v>
      </c>
      <c r="AG68" s="90" t="str">
        <f t="shared" si="2"/>
        <v>(command "color" 1 "")</v>
      </c>
    </row>
    <row r="69" spans="1:33" hidden="1" x14ac:dyDescent="0.25">
      <c r="A69" s="25"/>
      <c r="B69" s="26"/>
      <c r="C69" s="25"/>
      <c r="D69" s="10"/>
      <c r="E69" s="27">
        <f>E68+O7</f>
        <v>7000</v>
      </c>
      <c r="F69" s="27"/>
      <c r="G69" s="27">
        <f>G68</f>
        <v>0</v>
      </c>
      <c r="H69" s="27" t="str">
        <f t="shared" si="9"/>
        <v xml:space="preserve"> (list 7000 0 )</v>
      </c>
      <c r="I69" s="27" t="s">
        <v>49</v>
      </c>
      <c r="J69" s="27"/>
      <c r="K69" s="27"/>
      <c r="U69" s="1" t="s">
        <v>79</v>
      </c>
      <c r="V69" s="1" t="s">
        <v>15</v>
      </c>
      <c r="AG69" s="90"/>
    </row>
    <row r="70" spans="1:33" hidden="1" x14ac:dyDescent="0.25">
      <c r="A70" s="25"/>
      <c r="B70" s="26"/>
      <c r="C70" s="25"/>
      <c r="D70" s="10"/>
      <c r="E70" s="27">
        <f>E69</f>
        <v>7000</v>
      </c>
      <c r="F70" s="27"/>
      <c r="G70" s="27">
        <f>G67</f>
        <v>-500</v>
      </c>
      <c r="H70" s="27" t="str">
        <f t="shared" si="9"/>
        <v xml:space="preserve"> (list 7000 -500 )</v>
      </c>
      <c r="I70" s="27" t="s">
        <v>50</v>
      </c>
      <c r="J70" s="27"/>
      <c r="K70" s="27"/>
      <c r="U70" s="9" t="str">
        <f>CONCATENATE(U69,H67,H68,H69,H70,V69)</f>
        <v>(command "line" (list 500 -500 ) (list 500 0 ) (list 7000 0 ) (list 7000 -500 ) "")</v>
      </c>
      <c r="AG70" s="90" t="str">
        <f t="shared" si="2"/>
        <v>(command "line" (list 500 -500 ) (list 500 0 ) (list 7000 0 ) (list 7000 -500 ) "")</v>
      </c>
    </row>
    <row r="71" spans="1:33" hidden="1" x14ac:dyDescent="0.25">
      <c r="A71" s="25"/>
      <c r="B71" s="26"/>
      <c r="C71" s="25"/>
      <c r="D71" s="10"/>
      <c r="E71" s="28">
        <f>E67</f>
        <v>500</v>
      </c>
      <c r="F71" s="28"/>
      <c r="G71" s="28">
        <f>$C$7+$C$10+$C$12</f>
        <v>950</v>
      </c>
      <c r="H71" s="28" t="str">
        <f t="shared" si="9"/>
        <v xml:space="preserve"> (list 500 950 )</v>
      </c>
      <c r="I71" s="28" t="s">
        <v>52</v>
      </c>
      <c r="J71" s="28"/>
      <c r="K71" s="28"/>
      <c r="U71" s="9" t="str">
        <f>CONCATENATE(U69,H71,H72,H73,H74,V69)</f>
        <v>(command "line" (list 500 950 ) (list 500 450 ) (list 7000 450 ) (list 7000 950 ) "")</v>
      </c>
      <c r="AG71" s="90" t="str">
        <f t="shared" si="2"/>
        <v>(command "line" (list 500 950 ) (list 500 450 ) (list 7000 450 ) (list 7000 950 ) "")</v>
      </c>
    </row>
    <row r="72" spans="1:33" hidden="1" x14ac:dyDescent="0.25">
      <c r="A72" s="25"/>
      <c r="B72" s="26"/>
      <c r="C72" s="25"/>
      <c r="D72" s="10"/>
      <c r="E72" s="28">
        <f>E68</f>
        <v>500</v>
      </c>
      <c r="F72" s="28"/>
      <c r="G72" s="28">
        <f>G71-$C$12</f>
        <v>450</v>
      </c>
      <c r="H72" s="28" t="str">
        <f t="shared" si="9"/>
        <v xml:space="preserve"> (list 500 450 )</v>
      </c>
      <c r="I72" s="28" t="s">
        <v>53</v>
      </c>
      <c r="J72" s="28"/>
      <c r="K72" s="28"/>
      <c r="AG72" s="90"/>
    </row>
    <row r="73" spans="1:33" hidden="1" x14ac:dyDescent="0.25">
      <c r="A73" s="25"/>
      <c r="B73" s="26"/>
      <c r="C73" s="25"/>
      <c r="D73" s="10"/>
      <c r="E73" s="28">
        <f>E69</f>
        <v>7000</v>
      </c>
      <c r="F73" s="28"/>
      <c r="G73" s="28">
        <f>G72</f>
        <v>450</v>
      </c>
      <c r="H73" s="28" t="str">
        <f t="shared" si="9"/>
        <v xml:space="preserve"> (list 7000 450 )</v>
      </c>
      <c r="I73" s="28" t="s">
        <v>54</v>
      </c>
      <c r="J73" s="28"/>
      <c r="K73" s="28"/>
      <c r="AG73" s="90"/>
    </row>
    <row r="74" spans="1:33" hidden="1" x14ac:dyDescent="0.25">
      <c r="A74" s="25"/>
      <c r="B74" s="26"/>
      <c r="C74" s="25"/>
      <c r="D74" s="10"/>
      <c r="E74" s="28">
        <f>E70</f>
        <v>7000</v>
      </c>
      <c r="F74" s="28"/>
      <c r="G74" s="28">
        <f>G71</f>
        <v>950</v>
      </c>
      <c r="H74" s="28" t="str">
        <f t="shared" si="9"/>
        <v xml:space="preserve"> (list 7000 950 )</v>
      </c>
      <c r="I74" s="28" t="s">
        <v>51</v>
      </c>
      <c r="J74" s="28"/>
      <c r="K74" s="28"/>
      <c r="U74" s="1" t="s">
        <v>81</v>
      </c>
      <c r="V74" s="1" t="s">
        <v>15</v>
      </c>
      <c r="AG74" s="90"/>
    </row>
    <row r="75" spans="1:33" hidden="1" x14ac:dyDescent="0.25">
      <c r="A75" s="25"/>
      <c r="B75" s="26"/>
      <c r="C75" s="25"/>
      <c r="D75" s="10"/>
      <c r="E75" s="28"/>
      <c r="F75" s="28"/>
      <c r="G75" s="28"/>
      <c r="H75" s="28"/>
      <c r="I75" s="28"/>
      <c r="J75" s="28"/>
      <c r="K75" s="28"/>
      <c r="AG75" s="90"/>
    </row>
    <row r="76" spans="1:33" hidden="1" x14ac:dyDescent="0.25">
      <c r="A76" s="25"/>
      <c r="B76" s="26"/>
      <c r="C76" s="25"/>
      <c r="D76" s="10"/>
      <c r="E76" s="28"/>
      <c r="F76" s="28"/>
      <c r="G76" s="28"/>
      <c r="H76" s="28"/>
      <c r="I76" s="28"/>
      <c r="J76" s="28"/>
      <c r="K76" s="28"/>
      <c r="AG76" s="90"/>
    </row>
    <row r="77" spans="1:33" hidden="1" x14ac:dyDescent="0.25">
      <c r="A77" s="68" t="s">
        <v>118</v>
      </c>
      <c r="B77" s="69">
        <f>E7</f>
        <v>7000</v>
      </c>
      <c r="C77" s="70"/>
      <c r="D77" s="71"/>
      <c r="E77" s="72"/>
      <c r="F77" s="72"/>
      <c r="G77" s="72"/>
      <c r="H77" s="72"/>
      <c r="I77" s="72"/>
      <c r="J77" s="72"/>
      <c r="K77" s="73"/>
      <c r="U77" s="1" t="s">
        <v>81</v>
      </c>
      <c r="V77" s="1" t="s">
        <v>15</v>
      </c>
      <c r="AG77" s="90"/>
    </row>
    <row r="78" spans="1:33" hidden="1" x14ac:dyDescent="0.25">
      <c r="A78" s="74" t="s">
        <v>95</v>
      </c>
      <c r="B78" s="60">
        <f>B77/10</f>
        <v>700</v>
      </c>
      <c r="C78" s="25"/>
      <c r="D78" s="129" t="s">
        <v>102</v>
      </c>
      <c r="E78" s="75">
        <f>B7+H7+B78</f>
        <v>1200</v>
      </c>
      <c r="F78" s="75"/>
      <c r="G78" s="75">
        <f>C7+2*C14</f>
        <v>150</v>
      </c>
      <c r="H78" s="75" t="str">
        <f t="shared" si="9"/>
        <v xml:space="preserve"> (list 1200 150 )</v>
      </c>
      <c r="I78" s="75" t="s">
        <v>97</v>
      </c>
      <c r="J78" s="75"/>
      <c r="K78" s="76"/>
      <c r="U78" s="7" t="str">
        <f>CONCATENATE($U$77,$M$10,$V$77)</f>
        <v>(command "color" 2 "")</v>
      </c>
      <c r="AG78" s="90" t="str">
        <f t="shared" si="2"/>
        <v>(command "color" 2 "")</v>
      </c>
    </row>
    <row r="79" spans="1:33" hidden="1" x14ac:dyDescent="0.25">
      <c r="A79" s="74" t="s">
        <v>96</v>
      </c>
      <c r="B79" s="60">
        <f>FLOOR(B77/3,1)</f>
        <v>2333</v>
      </c>
      <c r="C79" s="25"/>
      <c r="D79" s="129"/>
      <c r="E79" s="75">
        <f>B8+H7+O7-B78</f>
        <v>6300</v>
      </c>
      <c r="F79" s="75"/>
      <c r="G79" s="75">
        <f>G78</f>
        <v>150</v>
      </c>
      <c r="H79" s="75" t="str">
        <f t="shared" si="9"/>
        <v xml:space="preserve"> (list 6300 150 )</v>
      </c>
      <c r="I79" s="75" t="s">
        <v>98</v>
      </c>
      <c r="J79" s="75"/>
      <c r="K79" s="76"/>
      <c r="U79" s="1" t="s">
        <v>79</v>
      </c>
      <c r="V79" s="1" t="s">
        <v>15</v>
      </c>
      <c r="AG79" s="90"/>
    </row>
    <row r="80" spans="1:33" hidden="1" x14ac:dyDescent="0.25">
      <c r="A80" s="74" t="s">
        <v>103</v>
      </c>
      <c r="B80" s="60">
        <f>E79-E78</f>
        <v>5100</v>
      </c>
      <c r="C80" s="25"/>
      <c r="D80" s="129"/>
      <c r="E80" s="77">
        <f>B7+3*C14</f>
        <v>225</v>
      </c>
      <c r="F80" s="77"/>
      <c r="G80" s="77">
        <f>2*C14+C7</f>
        <v>150</v>
      </c>
      <c r="H80" s="77" t="str">
        <f t="shared" si="9"/>
        <v xml:space="preserve"> (list 225 150 )</v>
      </c>
      <c r="I80" s="77" t="s">
        <v>100</v>
      </c>
      <c r="J80" s="135" t="s">
        <v>129</v>
      </c>
      <c r="K80" s="76"/>
      <c r="U80" s="62" t="str">
        <f>IF(I7="Y",CONCATENATE($U$79,H78,H79,$V$79),"")</f>
        <v>(command "line" (list 1200 150 ) (list 6300 150 ) "")</v>
      </c>
      <c r="AG80" s="90" t="str">
        <f t="shared" si="2"/>
        <v>(command "line" (list 1200 150 ) (list 6300 150 ) "")</v>
      </c>
    </row>
    <row r="81" spans="1:33" hidden="1" x14ac:dyDescent="0.25">
      <c r="A81" s="74"/>
      <c r="B81" s="60"/>
      <c r="C81" s="25"/>
      <c r="D81" s="129"/>
      <c r="E81" s="77">
        <f>E80</f>
        <v>225</v>
      </c>
      <c r="F81" s="77"/>
      <c r="G81" s="77">
        <f>C7+C10-2*C14</f>
        <v>300</v>
      </c>
      <c r="H81" s="77" t="str">
        <f t="shared" si="9"/>
        <v xml:space="preserve"> (list 225 300 )</v>
      </c>
      <c r="I81" s="77" t="s">
        <v>99</v>
      </c>
      <c r="J81" s="135"/>
      <c r="K81" s="76"/>
      <c r="U81" s="62" t="str">
        <f>IF(F7="Y",CONCATENATE($U$79,H80,H81,H82,$V$79),"")</f>
        <v>(command "line" (list 225 150 ) (list 225 300 ) (list 2558 300 ) "")</v>
      </c>
      <c r="AG81" s="90" t="str">
        <f t="shared" si="2"/>
        <v>(command "line" (list 225 150 ) (list 225 300 ) (list 2558 300 ) "")</v>
      </c>
    </row>
    <row r="82" spans="1:33" hidden="1" x14ac:dyDescent="0.25">
      <c r="A82" s="74"/>
      <c r="B82" s="60"/>
      <c r="C82" s="25"/>
      <c r="D82" s="129"/>
      <c r="E82" s="77">
        <f>E81+B79</f>
        <v>2558</v>
      </c>
      <c r="F82" s="77"/>
      <c r="G82" s="77">
        <f>G81</f>
        <v>300</v>
      </c>
      <c r="H82" s="77" t="str">
        <f t="shared" si="9"/>
        <v xml:space="preserve"> (list 2558 300 )</v>
      </c>
      <c r="I82" s="77" t="s">
        <v>101</v>
      </c>
      <c r="J82" s="135"/>
      <c r="K82" s="76"/>
      <c r="U82" s="1" t="s">
        <v>81</v>
      </c>
      <c r="V82" s="1" t="s">
        <v>15</v>
      </c>
      <c r="AG82" s="90"/>
    </row>
    <row r="83" spans="1:33" hidden="1" x14ac:dyDescent="0.25">
      <c r="A83" s="78" t="s">
        <v>107</v>
      </c>
      <c r="B83" s="60"/>
      <c r="C83" s="25"/>
      <c r="D83" s="79"/>
      <c r="E83" s="80">
        <f>FLOOR(B80*2/3,1)+E78</f>
        <v>4600</v>
      </c>
      <c r="F83" s="80"/>
      <c r="G83" s="80">
        <f>G78</f>
        <v>150</v>
      </c>
      <c r="H83" s="80" t="str">
        <f t="shared" si="9"/>
        <v xml:space="preserve"> (list 4600 150 )</v>
      </c>
      <c r="I83" s="80" t="s">
        <v>104</v>
      </c>
      <c r="J83" s="80"/>
      <c r="K83" s="76"/>
      <c r="U83" s="62" t="str">
        <f>CONCATENATE(U82,$M$11,V82)</f>
        <v>(command "color" 3 "")</v>
      </c>
      <c r="AG83" s="90" t="str">
        <f t="shared" si="2"/>
        <v>(command "color" 3 "")</v>
      </c>
    </row>
    <row r="84" spans="1:33" hidden="1" x14ac:dyDescent="0.25">
      <c r="A84" s="74" t="s">
        <v>108</v>
      </c>
      <c r="B84" s="60">
        <v>150</v>
      </c>
      <c r="C84" s="25"/>
      <c r="D84" s="79"/>
      <c r="E84" s="80">
        <f>E83+B84</f>
        <v>4750</v>
      </c>
      <c r="F84" s="80"/>
      <c r="G84" s="80">
        <f>G83+B85</f>
        <v>300</v>
      </c>
      <c r="H84" s="80" t="str">
        <f t="shared" si="9"/>
        <v xml:space="preserve"> (list 4750 300 )</v>
      </c>
      <c r="I84" s="80" t="s">
        <v>105</v>
      </c>
      <c r="J84" s="80"/>
      <c r="K84" s="76"/>
      <c r="U84" s="1" t="s">
        <v>84</v>
      </c>
      <c r="V84" s="1" t="s">
        <v>22</v>
      </c>
      <c r="W84" s="5" t="s">
        <v>23</v>
      </c>
      <c r="X84" s="1" t="s">
        <v>7</v>
      </c>
      <c r="AG84" s="90"/>
    </row>
    <row r="85" spans="1:33" hidden="1" x14ac:dyDescent="0.25">
      <c r="A85" s="74" t="s">
        <v>109</v>
      </c>
      <c r="B85" s="60">
        <v>150</v>
      </c>
      <c r="C85" s="25"/>
      <c r="D85" s="79"/>
      <c r="E85" s="80">
        <f>E84</f>
        <v>4750</v>
      </c>
      <c r="F85" s="80"/>
      <c r="G85" s="80">
        <f>G121</f>
        <v>-225</v>
      </c>
      <c r="H85" s="80" t="str">
        <f t="shared" si="9"/>
        <v xml:space="preserve"> (list 4750 -225 )</v>
      </c>
      <c r="I85" s="80" t="s">
        <v>106</v>
      </c>
      <c r="J85" s="80"/>
      <c r="K85" s="76"/>
      <c r="U85" s="62" t="str">
        <f>IF(I7="Y",(CONCATENATE(U84,H83,H84,H85,H86,V84,V84,W84,X84)),"")</f>
        <v>(command "leader" (list 4600 150 ) (list 4750 300 ) (list 4750 -225 ) (list 4950 -225 ) "" "" "N")</v>
      </c>
      <c r="AG85" s="90" t="str">
        <f>U85</f>
        <v>(command "leader" (list 4600 150 ) (list 4750 300 ) (list 4750 -225 ) (list 4950 -225 ) "" "" "N")</v>
      </c>
    </row>
    <row r="86" spans="1:33" hidden="1" x14ac:dyDescent="0.25">
      <c r="A86" s="81"/>
      <c r="B86" s="60"/>
      <c r="C86" s="25"/>
      <c r="D86" s="79"/>
      <c r="E86" s="77">
        <f>E85+$M$13</f>
        <v>4950</v>
      </c>
      <c r="F86" s="77"/>
      <c r="G86" s="77">
        <f>G85</f>
        <v>-225</v>
      </c>
      <c r="H86" s="80" t="str">
        <f t="shared" si="9"/>
        <v xml:space="preserve"> (list 4950 -225 )</v>
      </c>
      <c r="I86" s="80" t="s">
        <v>110</v>
      </c>
      <c r="J86" s="80"/>
      <c r="K86" s="76"/>
      <c r="U86" s="1" t="s">
        <v>81</v>
      </c>
      <c r="V86" s="1" t="s">
        <v>15</v>
      </c>
      <c r="AG86" s="90"/>
    </row>
    <row r="87" spans="1:33" hidden="1" x14ac:dyDescent="0.25">
      <c r="A87" s="78"/>
      <c r="B87" s="60"/>
      <c r="C87" s="25"/>
      <c r="D87" s="79"/>
      <c r="E87" s="75">
        <f>E82-3*B84</f>
        <v>2108</v>
      </c>
      <c r="F87" s="75"/>
      <c r="G87" s="75">
        <f>G82</f>
        <v>300</v>
      </c>
      <c r="H87" s="75" t="str">
        <f t="shared" ref="H87:H90" si="10">CONCATENATE(" (list ",E87," ",G87," ",")")</f>
        <v xml:space="preserve"> (list 2108 300 )</v>
      </c>
      <c r="I87" s="75" t="s">
        <v>122</v>
      </c>
      <c r="J87" s="75"/>
      <c r="K87" s="76"/>
      <c r="U87" s="62" t="str">
        <f>CONCATENATE($U$86,$M$11,$V$86)</f>
        <v>(command "color" 3 "")</v>
      </c>
      <c r="AG87" s="90"/>
    </row>
    <row r="88" spans="1:33" hidden="1" x14ac:dyDescent="0.25">
      <c r="A88" s="74"/>
      <c r="B88" s="60"/>
      <c r="C88" s="25"/>
      <c r="D88" s="79"/>
      <c r="E88" s="75">
        <f>E87+B84</f>
        <v>2258</v>
      </c>
      <c r="F88" s="75"/>
      <c r="G88" s="75">
        <f>G87-B85</f>
        <v>150</v>
      </c>
      <c r="H88" s="75" t="str">
        <f t="shared" si="10"/>
        <v xml:space="preserve"> (list 2258 150 )</v>
      </c>
      <c r="I88" s="75" t="s">
        <v>123</v>
      </c>
      <c r="J88" s="75"/>
      <c r="K88" s="76"/>
      <c r="U88" s="1" t="s">
        <v>84</v>
      </c>
      <c r="V88" s="1" t="s">
        <v>22</v>
      </c>
      <c r="W88" s="5" t="s">
        <v>23</v>
      </c>
      <c r="X88" s="1" t="s">
        <v>7</v>
      </c>
      <c r="AG88" s="90"/>
    </row>
    <row r="89" spans="1:33" hidden="1" x14ac:dyDescent="0.25">
      <c r="A89" s="74"/>
      <c r="B89" s="60"/>
      <c r="C89" s="25"/>
      <c r="D89" s="79"/>
      <c r="E89" s="75">
        <f>E88</f>
        <v>2258</v>
      </c>
      <c r="F89" s="75"/>
      <c r="G89" s="75">
        <f>G118</f>
        <v>675</v>
      </c>
      <c r="H89" s="75" t="str">
        <f t="shared" si="10"/>
        <v xml:space="preserve"> (list 2258 675 )</v>
      </c>
      <c r="I89" s="75" t="s">
        <v>124</v>
      </c>
      <c r="J89" s="75"/>
      <c r="K89" s="76"/>
      <c r="U89" s="62" t="str">
        <f>IF(I11="Y",(CONCATENATE(U88,H87,H88,H89,H90,V88,V88,W88,X88)),"")</f>
        <v/>
      </c>
      <c r="AG89" s="90" t="str">
        <f>U89</f>
        <v/>
      </c>
    </row>
    <row r="90" spans="1:33" hidden="1" x14ac:dyDescent="0.25">
      <c r="A90" s="81"/>
      <c r="B90" s="60"/>
      <c r="C90" s="25"/>
      <c r="D90" s="79"/>
      <c r="E90" s="75">
        <f>E89+$M$13</f>
        <v>2458</v>
      </c>
      <c r="F90" s="75"/>
      <c r="G90" s="75">
        <f>G89</f>
        <v>675</v>
      </c>
      <c r="H90" s="75" t="str">
        <f t="shared" si="10"/>
        <v xml:space="preserve"> (list 2458 675 )</v>
      </c>
      <c r="I90" s="75" t="s">
        <v>125</v>
      </c>
      <c r="J90" s="75"/>
      <c r="K90" s="76"/>
      <c r="U90" s="1" t="s">
        <v>86</v>
      </c>
      <c r="V90" s="1" t="s">
        <v>27</v>
      </c>
      <c r="X90" s="1" t="s">
        <v>28</v>
      </c>
      <c r="Y90" s="1" t="s">
        <v>19</v>
      </c>
      <c r="AG90" s="90"/>
    </row>
    <row r="91" spans="1:33" hidden="1" x14ac:dyDescent="0.25">
      <c r="A91" s="82" t="s">
        <v>62</v>
      </c>
      <c r="B91" s="83" t="s">
        <v>127</v>
      </c>
      <c r="C91" s="25"/>
      <c r="D91" s="79"/>
      <c r="E91" s="80">
        <f>E86+25</f>
        <v>4975</v>
      </c>
      <c r="F91" s="80"/>
      <c r="G91" s="80">
        <f>G86-$M$15/2</f>
        <v>-275</v>
      </c>
      <c r="H91" s="80" t="str">
        <f>CONCATENATE(" (list ",E91," ",G91," ",")")</f>
        <v xml:space="preserve"> (list 4975 -275 )</v>
      </c>
      <c r="I91" s="80" t="s">
        <v>119</v>
      </c>
      <c r="J91" s="80"/>
      <c r="K91" s="76"/>
      <c r="U91" s="62" t="str">
        <f>IF(I7="Y",CONCATENATE($U$90,H91," ",$V$90,M15,$V$90,$X$90,A91,$Y$90),"")</f>
        <v>(command "text" (list 4975 -275 ) "100" "0" "2-16" "")</v>
      </c>
      <c r="AG91" s="90" t="str">
        <f t="shared" ref="AG91:AG99" si="11">U91</f>
        <v>(command "text" (list 4975 -275 ) "100" "0" "2-16" "")</v>
      </c>
    </row>
    <row r="92" spans="1:33" hidden="1" x14ac:dyDescent="0.25">
      <c r="A92" s="84" t="s">
        <v>62</v>
      </c>
      <c r="B92" s="85" t="s">
        <v>126</v>
      </c>
      <c r="C92" s="86"/>
      <c r="D92" s="87"/>
      <c r="E92" s="88">
        <f>E90+25</f>
        <v>2483</v>
      </c>
      <c r="F92" s="88"/>
      <c r="G92" s="88">
        <f>G90-$M$15/2</f>
        <v>625</v>
      </c>
      <c r="H92" s="88" t="str">
        <f>CONCATENATE(" (list ",E92," ",G92," ",")")</f>
        <v xml:space="preserve"> (list 2483 625 )</v>
      </c>
      <c r="I92" s="88" t="s">
        <v>120</v>
      </c>
      <c r="J92" s="88"/>
      <c r="K92" s="89"/>
      <c r="U92" s="62" t="str">
        <f>IF(I8="Y",CONCATENATE(U90,H92," ",V90,M15,V90,X90,A92,Y90),"")</f>
        <v>(command "text" (list 2483 625 ) "100" "0" "2-16" "")</v>
      </c>
      <c r="AG92" s="90" t="str">
        <f t="shared" si="11"/>
        <v>(command "text" (list 2483 625 ) "100" "0" "2-16" "")</v>
      </c>
    </row>
    <row r="93" spans="1:33" hidden="1" x14ac:dyDescent="0.25">
      <c r="A93" s="82"/>
      <c r="B93" s="83"/>
      <c r="C93" s="25"/>
      <c r="D93" s="101"/>
      <c r="E93" s="80"/>
      <c r="F93" s="80"/>
      <c r="G93" s="80"/>
      <c r="H93" s="80"/>
      <c r="I93" s="80"/>
      <c r="J93" s="80"/>
      <c r="K93" s="76"/>
      <c r="U93" s="7" t="str">
        <f>CONCATENATE($U$77,$M$10,$V$77)</f>
        <v>(command "color" 2 "")</v>
      </c>
      <c r="AG93" s="90" t="str">
        <f t="shared" si="11"/>
        <v>(command "color" 2 "")</v>
      </c>
    </row>
    <row r="94" spans="1:33" hidden="1" x14ac:dyDescent="0.25">
      <c r="A94" s="82"/>
      <c r="B94" s="83"/>
      <c r="C94" s="25"/>
      <c r="D94" s="101"/>
      <c r="E94" s="75">
        <f>B7+H7/2+E7</f>
        <v>7250</v>
      </c>
      <c r="F94" s="75"/>
      <c r="G94" s="75">
        <f>G82</f>
        <v>300</v>
      </c>
      <c r="H94" s="75" t="str">
        <f t="shared" ref="H94:H95" si="12">CONCATENATE(" (list ",E94," ",G94," ",")")</f>
        <v xml:space="preserve"> (list 7250 300 )</v>
      </c>
      <c r="I94" s="75" t="s">
        <v>135</v>
      </c>
      <c r="J94" s="139" t="s">
        <v>137</v>
      </c>
      <c r="K94" s="140"/>
      <c r="U94" s="62" t="str">
        <f>IF($V$22&gt;1,CONCATENATE($U$79,H94,H95,$V$79),"")</f>
        <v>(command "line" (list 7250 300 ) (list 4916 300 ) "")</v>
      </c>
      <c r="AG94" s="90" t="str">
        <f t="shared" si="11"/>
        <v>(command "line" (list 7250 300 ) (list 4916 300 ) "")</v>
      </c>
    </row>
    <row r="95" spans="1:33" hidden="1" x14ac:dyDescent="0.25">
      <c r="A95" s="82"/>
      <c r="B95" s="83"/>
      <c r="C95" s="25"/>
      <c r="D95" s="101"/>
      <c r="E95" s="75">
        <f>FLOOR(E94-B77/3,1)</f>
        <v>4916</v>
      </c>
      <c r="F95" s="75"/>
      <c r="G95" s="75">
        <f>G94</f>
        <v>300</v>
      </c>
      <c r="H95" s="75" t="str">
        <f t="shared" si="12"/>
        <v xml:space="preserve"> (list 4916 300 )</v>
      </c>
      <c r="I95" s="75" t="s">
        <v>136</v>
      </c>
      <c r="J95" s="141"/>
      <c r="K95" s="142"/>
      <c r="U95" s="62" t="str">
        <f>CONCATENATE($U$86,$M$11,$V$86)</f>
        <v>(command "color" 3 "")</v>
      </c>
      <c r="AG95" s="90" t="str">
        <f t="shared" si="11"/>
        <v>(command "color" 3 "")</v>
      </c>
    </row>
    <row r="96" spans="1:33" hidden="1" x14ac:dyDescent="0.25">
      <c r="A96" s="78"/>
      <c r="B96" s="60"/>
      <c r="C96" s="25"/>
      <c r="D96" s="79"/>
      <c r="E96" s="77">
        <f>M7-M6/2</f>
        <v>18250</v>
      </c>
      <c r="F96" s="77"/>
      <c r="G96" s="77">
        <f>G80</f>
        <v>150</v>
      </c>
      <c r="H96" s="77" t="str">
        <f t="shared" ref="H96:H102" si="13">CONCATENATE(" (list ",E96," ",G96," ",")")</f>
        <v xml:space="preserve"> (list 18250 150 )</v>
      </c>
      <c r="I96" s="77" t="s">
        <v>100</v>
      </c>
      <c r="J96" s="136" t="s">
        <v>134</v>
      </c>
      <c r="K96" s="137"/>
      <c r="U96" s="62" t="str">
        <f>IF($V$22&gt;1,CONCATENATE(U92,$M$11,V92),"")</f>
        <v>(command "text" (list 2483 625 ) "100" "0" "2-16" "")3</v>
      </c>
      <c r="AG96" s="90" t="str">
        <f t="shared" si="11"/>
        <v>(command "text" (list 2483 625 ) "100" "0" "2-16" "")3</v>
      </c>
    </row>
    <row r="97" spans="1:33" hidden="1" x14ac:dyDescent="0.25">
      <c r="A97" s="74"/>
      <c r="B97" s="60"/>
      <c r="C97" s="25"/>
      <c r="D97" s="79"/>
      <c r="E97" s="77">
        <f>E96</f>
        <v>18250</v>
      </c>
      <c r="F97" s="77"/>
      <c r="G97" s="77">
        <f>G81</f>
        <v>300</v>
      </c>
      <c r="H97" s="77" t="str">
        <f t="shared" si="13"/>
        <v xml:space="preserve"> (list 18250 300 )</v>
      </c>
      <c r="I97" s="77" t="s">
        <v>99</v>
      </c>
      <c r="J97" s="135"/>
      <c r="K97" s="138"/>
      <c r="U97" s="7" t="str">
        <f>CONCATENATE($U$77,$M$10,$V$77)</f>
        <v>(command "color" 2 "")</v>
      </c>
      <c r="W97" s="5"/>
      <c r="AG97" s="90" t="str">
        <f t="shared" si="11"/>
        <v>(command "color" 2 "")</v>
      </c>
    </row>
    <row r="98" spans="1:33" hidden="1" x14ac:dyDescent="0.25">
      <c r="A98" s="74"/>
      <c r="B98" s="60"/>
      <c r="C98" s="25"/>
      <c r="D98" s="79"/>
      <c r="E98" s="77">
        <f>E97</f>
        <v>18250</v>
      </c>
      <c r="F98" s="77"/>
      <c r="G98" s="77">
        <f>G82</f>
        <v>300</v>
      </c>
      <c r="H98" s="77" t="str">
        <f t="shared" si="13"/>
        <v xml:space="preserve"> (list 18250 300 )</v>
      </c>
      <c r="I98" s="77" t="s">
        <v>101</v>
      </c>
      <c r="J98" s="135"/>
      <c r="K98" s="138"/>
      <c r="U98" s="62" t="str">
        <f>CONCATENATE($U$79,H96,H97,H98,$V$79)</f>
        <v>(command "line" (list 18250 150 ) (list 18250 300 ) (list 18250 300 ) "")</v>
      </c>
      <c r="AG98" s="90" t="str">
        <f t="shared" si="11"/>
        <v>(command "line" (list 18250 150 ) (list 18250 300 ) (list 18250 300 ) "")</v>
      </c>
    </row>
    <row r="99" spans="1:33" hidden="1" x14ac:dyDescent="0.25">
      <c r="A99" s="78"/>
      <c r="B99" s="60"/>
      <c r="C99" s="25"/>
      <c r="D99" s="79"/>
      <c r="E99" s="75">
        <f>E98-M6</f>
        <v>17750</v>
      </c>
      <c r="F99" s="75"/>
      <c r="G99" s="75">
        <f>G98</f>
        <v>300</v>
      </c>
      <c r="H99" s="75" t="str">
        <f t="shared" si="13"/>
        <v xml:space="preserve"> (list 17750 300 )</v>
      </c>
      <c r="I99" s="75" t="s">
        <v>122</v>
      </c>
      <c r="J99" s="75"/>
      <c r="K99" s="76"/>
      <c r="U99" s="62" t="str">
        <f>CONCATENATE($U$86,$M$11,$V$86)</f>
        <v>(command "color" 3 "")</v>
      </c>
      <c r="AG99" s="90" t="str">
        <f t="shared" si="11"/>
        <v>(command "color" 3 "")</v>
      </c>
    </row>
    <row r="100" spans="1:33" hidden="1" x14ac:dyDescent="0.25">
      <c r="A100" s="74"/>
      <c r="B100" s="60"/>
      <c r="C100" s="25"/>
      <c r="D100" s="79"/>
      <c r="E100" s="75">
        <f>E99-B84</f>
        <v>17600</v>
      </c>
      <c r="F100" s="75"/>
      <c r="G100" s="75">
        <f>G99-B85</f>
        <v>150</v>
      </c>
      <c r="H100" s="75" t="str">
        <f t="shared" si="13"/>
        <v xml:space="preserve"> (list 17600 150 )</v>
      </c>
      <c r="I100" s="75" t="s">
        <v>123</v>
      </c>
      <c r="J100" s="75"/>
      <c r="K100" s="76"/>
      <c r="U100" s="1" t="s">
        <v>84</v>
      </c>
      <c r="V100" s="1" t="s">
        <v>22</v>
      </c>
      <c r="W100" s="5" t="s">
        <v>23</v>
      </c>
      <c r="X100" s="1" t="s">
        <v>7</v>
      </c>
      <c r="AG100" s="90"/>
    </row>
    <row r="101" spans="1:33" hidden="1" x14ac:dyDescent="0.25">
      <c r="A101" s="74"/>
      <c r="B101" s="60"/>
      <c r="C101" s="25"/>
      <c r="D101" s="79"/>
      <c r="E101" s="75">
        <f>E100</f>
        <v>17600</v>
      </c>
      <c r="F101" s="75"/>
      <c r="G101" s="75">
        <f>G89</f>
        <v>675</v>
      </c>
      <c r="H101" s="75" t="str">
        <f t="shared" si="13"/>
        <v xml:space="preserve"> (list 17600 675 )</v>
      </c>
      <c r="I101" s="75" t="s">
        <v>124</v>
      </c>
      <c r="J101" s="75"/>
      <c r="K101" s="76"/>
      <c r="U101" s="62" t="str">
        <f>(CONCATENATE(U100,H99,H100,H101,H102,V100,V100,W100,X100))</f>
        <v>(command "leader" (list 17750 300 ) (list 17600 150 ) (list 17600 675 ) (list 17400 675 ) "" "" "N")</v>
      </c>
      <c r="AG101" s="90" t="str">
        <f>U101</f>
        <v>(command "leader" (list 17750 300 ) (list 17600 150 ) (list 17600 675 ) (list 17400 675 ) "" "" "N")</v>
      </c>
    </row>
    <row r="102" spans="1:33" hidden="1" x14ac:dyDescent="0.25">
      <c r="A102" s="81"/>
      <c r="B102" s="60"/>
      <c r="C102" s="25"/>
      <c r="D102" s="79"/>
      <c r="E102" s="75">
        <f>E101-200</f>
        <v>17400</v>
      </c>
      <c r="F102" s="75"/>
      <c r="G102" s="75">
        <f>G101</f>
        <v>675</v>
      </c>
      <c r="H102" s="75" t="str">
        <f t="shared" si="13"/>
        <v xml:space="preserve"> (list 17400 675 )</v>
      </c>
      <c r="I102" s="75" t="s">
        <v>125</v>
      </c>
      <c r="J102" s="75"/>
      <c r="K102" s="76"/>
      <c r="U102" s="62" t="str">
        <f>CONCATENATE($U$86,$M$11,$V$86)</f>
        <v>(command "color" 3 "")</v>
      </c>
      <c r="V102" s="1" t="s">
        <v>27</v>
      </c>
      <c r="X102" s="1" t="s">
        <v>28</v>
      </c>
      <c r="Y102" s="1" t="s">
        <v>19</v>
      </c>
      <c r="AG102" s="90" t="str">
        <f>U102</f>
        <v>(command "color" 3 "")</v>
      </c>
    </row>
    <row r="103" spans="1:33" hidden="1" x14ac:dyDescent="0.25">
      <c r="A103" s="84" t="s">
        <v>62</v>
      </c>
      <c r="B103" s="85" t="s">
        <v>126</v>
      </c>
      <c r="C103" s="86"/>
      <c r="D103" s="87"/>
      <c r="E103" s="88">
        <f>E102-300</f>
        <v>17100</v>
      </c>
      <c r="F103" s="88"/>
      <c r="G103" s="88">
        <f>G92</f>
        <v>625</v>
      </c>
      <c r="H103" s="88" t="str">
        <f>CONCATENATE(" (list ",E103," ",G103," ",")")</f>
        <v xml:space="preserve"> (list 17100 625 )</v>
      </c>
      <c r="I103" s="88" t="s">
        <v>120</v>
      </c>
      <c r="J103" s="88"/>
      <c r="K103" s="89"/>
      <c r="U103" s="62" t="str">
        <f>CONCATENATE($U$90,H103," ",$V$90,M24,$V$90,$X$90,A103,$Y$90)</f>
        <v>(command "text" (list 17100 625 ) "" "0" "2-16" "")</v>
      </c>
      <c r="AG103" s="90" t="str">
        <f>U103</f>
        <v>(command "text" (list 17100 625 ) "" "0" "2-16" "")</v>
      </c>
    </row>
    <row r="104" spans="1:33" hidden="1" x14ac:dyDescent="0.25">
      <c r="A104" s="81"/>
      <c r="B104" s="60"/>
      <c r="C104" s="25"/>
      <c r="D104" s="75"/>
      <c r="E104" s="75"/>
      <c r="F104" s="75"/>
      <c r="G104" s="75"/>
      <c r="H104" s="75"/>
      <c r="I104" s="75"/>
      <c r="J104" s="75"/>
      <c r="K104" s="76"/>
      <c r="AG104" s="90"/>
    </row>
    <row r="105" spans="1:33" hidden="1" x14ac:dyDescent="0.25">
      <c r="A105" s="59"/>
      <c r="B105" s="60"/>
      <c r="C105" s="25"/>
      <c r="D105" s="63"/>
      <c r="E105" s="63"/>
      <c r="F105" s="63"/>
      <c r="G105" s="63"/>
      <c r="H105" s="64"/>
      <c r="I105" s="63"/>
      <c r="J105" s="61"/>
      <c r="K105" s="28"/>
      <c r="AG105" s="90"/>
    </row>
    <row r="106" spans="1:33" hidden="1" x14ac:dyDescent="0.25">
      <c r="A106" s="59"/>
      <c r="B106" s="60"/>
      <c r="C106" s="25"/>
      <c r="D106" s="63"/>
      <c r="E106" s="63"/>
      <c r="F106" s="63"/>
      <c r="G106" s="63"/>
      <c r="H106" s="63"/>
      <c r="I106" s="33"/>
      <c r="J106" s="61"/>
      <c r="K106" s="28"/>
      <c r="U106" s="1" t="s">
        <v>81</v>
      </c>
      <c r="V106" s="1" t="s">
        <v>15</v>
      </c>
      <c r="AG106" s="90"/>
    </row>
    <row r="107" spans="1:33" hidden="1" x14ac:dyDescent="0.25">
      <c r="A107" s="25"/>
      <c r="B107" s="26"/>
      <c r="C107" s="25"/>
      <c r="D107" s="10"/>
      <c r="E107" s="63"/>
      <c r="F107" s="63"/>
      <c r="G107" s="63"/>
      <c r="H107" s="63"/>
      <c r="I107" s="33"/>
      <c r="J107" s="10"/>
      <c r="K107" s="10"/>
      <c r="U107" s="7" t="str">
        <f>CONCATENATE(U106,$M$9,V106)</f>
        <v>(command "color" 1 "")</v>
      </c>
      <c r="AG107" s="45" t="str">
        <f>U107</f>
        <v>(command "color" 1 "")</v>
      </c>
    </row>
    <row r="108" spans="1:33" hidden="1" x14ac:dyDescent="0.25">
      <c r="A108" s="25"/>
      <c r="B108" s="26"/>
      <c r="C108" s="25"/>
      <c r="D108" s="10"/>
      <c r="E108" s="33"/>
      <c r="F108" s="33"/>
      <c r="G108" s="33"/>
      <c r="H108" s="33"/>
      <c r="I108" s="33"/>
      <c r="J108" s="10"/>
      <c r="K108" s="10"/>
      <c r="U108" s="35"/>
    </row>
    <row r="109" spans="1:33" hidden="1" x14ac:dyDescent="0.25">
      <c r="A109" s="25"/>
      <c r="B109" s="26"/>
      <c r="C109" s="25"/>
      <c r="D109" s="10"/>
      <c r="E109" s="33"/>
      <c r="F109" s="33"/>
      <c r="G109" s="33"/>
      <c r="H109" s="33"/>
      <c r="I109" s="33"/>
      <c r="J109" s="10"/>
      <c r="K109" s="10"/>
      <c r="U109" s="35"/>
    </row>
    <row r="110" spans="1:33" hidden="1" x14ac:dyDescent="0.25">
      <c r="A110" s="25"/>
      <c r="B110" s="26"/>
      <c r="C110" s="25"/>
      <c r="D110" s="10"/>
      <c r="E110" s="29">
        <f>$B$7</f>
        <v>0</v>
      </c>
      <c r="F110" s="29"/>
      <c r="G110" s="29">
        <f>G67</f>
        <v>-500</v>
      </c>
      <c r="H110" s="29" t="str">
        <f t="shared" si="9"/>
        <v xml:space="preserve"> (list 0 -500 )</v>
      </c>
      <c r="I110" s="29" t="s">
        <v>56</v>
      </c>
      <c r="J110" s="29"/>
      <c r="K110" s="29"/>
      <c r="U110" s="1" t="s">
        <v>79</v>
      </c>
      <c r="V110" s="1" t="s">
        <v>15</v>
      </c>
    </row>
    <row r="111" spans="1:33" hidden="1" x14ac:dyDescent="0.25">
      <c r="A111" s="25"/>
      <c r="B111" s="26"/>
      <c r="C111" s="25"/>
      <c r="D111" s="10"/>
      <c r="E111" s="29">
        <f>E110</f>
        <v>0</v>
      </c>
      <c r="F111" s="29"/>
      <c r="G111" s="29">
        <f>G71</f>
        <v>950</v>
      </c>
      <c r="H111" s="29" t="str">
        <f t="shared" si="9"/>
        <v xml:space="preserve"> (list 0 950 )</v>
      </c>
      <c r="I111" s="29" t="s">
        <v>57</v>
      </c>
      <c r="J111" s="29"/>
      <c r="K111" s="29"/>
      <c r="U111" s="9" t="str">
        <f>CONCATENATE(U110,H110,H111,V110)</f>
        <v>(command "line" (list 0 -500 ) (list 0 950 ) "")</v>
      </c>
      <c r="AG111" s="45" t="str">
        <f t="shared" si="2"/>
        <v>(command "line" (list 0 -500 ) (list 0 950 ) "")</v>
      </c>
    </row>
    <row r="112" spans="1:33" hidden="1" x14ac:dyDescent="0.25">
      <c r="A112" s="25"/>
      <c r="B112" s="26"/>
      <c r="C112" s="25"/>
      <c r="D112" s="10"/>
      <c r="E112" s="29">
        <f>M7</f>
        <v>18500</v>
      </c>
      <c r="F112" s="29"/>
      <c r="G112" s="29">
        <f>G110</f>
        <v>-500</v>
      </c>
      <c r="H112" s="29" t="str">
        <f t="shared" si="9"/>
        <v xml:space="preserve"> (list 18500 -500 )</v>
      </c>
      <c r="I112" s="29" t="s">
        <v>58</v>
      </c>
      <c r="J112" s="29"/>
      <c r="K112" s="29"/>
      <c r="U112" s="24"/>
    </row>
    <row r="113" spans="1:33" hidden="1" x14ac:dyDescent="0.25">
      <c r="A113" s="25"/>
      <c r="B113" s="26"/>
      <c r="C113" s="25"/>
      <c r="D113" s="10"/>
      <c r="E113" s="29">
        <f>E112</f>
        <v>18500</v>
      </c>
      <c r="F113" s="29"/>
      <c r="G113" s="29">
        <f>G111</f>
        <v>950</v>
      </c>
      <c r="H113" s="29" t="str">
        <f t="shared" si="9"/>
        <v xml:space="preserve"> (list 18500 950 )</v>
      </c>
      <c r="I113" s="29" t="s">
        <v>59</v>
      </c>
      <c r="J113" s="29"/>
      <c r="K113" s="29"/>
      <c r="U113" s="9" t="str">
        <f>CONCATENATE(U110,H112,H113,V110)</f>
        <v>(command "line" (list 18500 -500 ) (list 18500 950 ) "")</v>
      </c>
      <c r="AG113" s="45" t="str">
        <f t="shared" si="2"/>
        <v>(command "line" (list 18500 -500 ) (list 18500 950 ) "")</v>
      </c>
    </row>
    <row r="114" spans="1:33" hidden="1" x14ac:dyDescent="0.25">
      <c r="A114" s="25"/>
      <c r="B114" s="26"/>
      <c r="C114" s="25"/>
      <c r="D114" s="10"/>
      <c r="E114" s="29"/>
      <c r="F114" s="29"/>
      <c r="G114" s="29"/>
      <c r="H114" s="29"/>
      <c r="I114" s="29"/>
      <c r="J114" s="29"/>
      <c r="K114" s="29"/>
      <c r="U114" s="35"/>
    </row>
    <row r="115" spans="1:33" hidden="1" x14ac:dyDescent="0.25">
      <c r="A115" s="25"/>
      <c r="B115" s="26"/>
      <c r="C115" s="25"/>
      <c r="D115" s="10"/>
      <c r="E115" s="29"/>
      <c r="F115" s="29"/>
      <c r="G115" s="29"/>
      <c r="H115" s="29"/>
      <c r="I115" s="29"/>
      <c r="J115" s="29"/>
      <c r="K115" s="29"/>
      <c r="U115" s="1" t="s">
        <v>81</v>
      </c>
      <c r="V115" s="1" t="s">
        <v>15</v>
      </c>
    </row>
    <row r="116" spans="1:33" hidden="1" x14ac:dyDescent="0.25">
      <c r="A116" s="10"/>
      <c r="B116" s="10"/>
      <c r="C116" s="10"/>
      <c r="D116" s="30"/>
      <c r="E116" s="10"/>
      <c r="F116" s="10"/>
      <c r="G116" s="10"/>
      <c r="H116" s="10"/>
      <c r="I116" s="10"/>
      <c r="J116" s="10"/>
      <c r="K116" s="10"/>
      <c r="U116" s="7" t="str">
        <f>CONCATENATE(U115,$M$11,V115)</f>
        <v>(command "color" 3 "")</v>
      </c>
      <c r="AG116" s="45" t="str">
        <f t="shared" si="2"/>
        <v>(command "color" 3 "")</v>
      </c>
    </row>
    <row r="117" spans="1:33" hidden="1" x14ac:dyDescent="0.25">
      <c r="A117" s="10"/>
      <c r="B117" s="10"/>
      <c r="C117" s="10"/>
      <c r="D117" s="31">
        <v>1</v>
      </c>
      <c r="E117" s="32">
        <f>$B$7+H7/2+E7/2</f>
        <v>3750</v>
      </c>
      <c r="F117" s="41"/>
      <c r="G117" s="32">
        <f>C7+C10-C14</f>
        <v>375</v>
      </c>
      <c r="H117" s="32" t="str">
        <f t="shared" ref="H117:H162" si="14">CONCATENATE(" (list ",E117," ",G117," ",")")</f>
        <v xml:space="preserve"> (list 3750 375 )</v>
      </c>
      <c r="I117" s="32" t="s">
        <v>36</v>
      </c>
      <c r="J117" s="32"/>
      <c r="K117" s="32"/>
      <c r="U117" s="1" t="s">
        <v>84</v>
      </c>
      <c r="V117" s="1" t="s">
        <v>22</v>
      </c>
      <c r="W117" s="5" t="s">
        <v>23</v>
      </c>
      <c r="X117" s="1" t="s">
        <v>7</v>
      </c>
    </row>
    <row r="118" spans="1:33" hidden="1" x14ac:dyDescent="0.25">
      <c r="A118" s="10"/>
      <c r="B118" s="10"/>
      <c r="C118" s="10"/>
      <c r="D118" s="10"/>
      <c r="E118" s="32">
        <f>E117</f>
        <v>3750</v>
      </c>
      <c r="F118" s="32"/>
      <c r="G118" s="32">
        <f>G117+M12</f>
        <v>675</v>
      </c>
      <c r="H118" s="32" t="str">
        <f t="shared" si="14"/>
        <v xml:space="preserve"> (list 3750 675 )</v>
      </c>
      <c r="I118" s="32" t="s">
        <v>37</v>
      </c>
      <c r="J118" s="32"/>
      <c r="K118" s="32"/>
      <c r="U118" s="7" t="str">
        <f>CONCATENATE(U117,H117,H118,H119,V117,V117,W117,X117)</f>
        <v>(command "leader" (list 3750 375 ) (list 3750 675 ) (list 3950 675 ) "" "" "N")</v>
      </c>
      <c r="AG118" s="45" t="str">
        <f t="shared" si="2"/>
        <v>(command "leader" (list 3750 375 ) (list 3750 675 ) (list 3950 675 ) "" "" "N")</v>
      </c>
    </row>
    <row r="119" spans="1:33" hidden="1" x14ac:dyDescent="0.25">
      <c r="A119" s="10"/>
      <c r="B119" s="10"/>
      <c r="C119" s="10"/>
      <c r="D119" s="10"/>
      <c r="E119" s="32">
        <f>E118+$M$13</f>
        <v>3950</v>
      </c>
      <c r="F119" s="32"/>
      <c r="G119" s="32">
        <f>G118</f>
        <v>675</v>
      </c>
      <c r="H119" s="32" t="str">
        <f t="shared" si="14"/>
        <v xml:space="preserve"> (list 3950 675 )</v>
      </c>
      <c r="I119" s="32" t="s">
        <v>38</v>
      </c>
      <c r="J119" s="32"/>
      <c r="K119" s="32"/>
    </row>
    <row r="120" spans="1:33" hidden="1" x14ac:dyDescent="0.25">
      <c r="A120" s="10"/>
      <c r="B120" s="10"/>
      <c r="C120" s="10"/>
      <c r="D120" s="10"/>
      <c r="E120" s="29">
        <f>E117</f>
        <v>3750</v>
      </c>
      <c r="F120" s="29"/>
      <c r="G120" s="29">
        <f>G152</f>
        <v>75</v>
      </c>
      <c r="H120" s="29" t="str">
        <f t="shared" si="14"/>
        <v xml:space="preserve"> (list 3750 75 )</v>
      </c>
      <c r="I120" s="29" t="s">
        <v>39</v>
      </c>
      <c r="J120" s="29"/>
      <c r="K120" s="29"/>
    </row>
    <row r="121" spans="1:33" hidden="1" x14ac:dyDescent="0.25">
      <c r="A121" s="10"/>
      <c r="B121" s="10"/>
      <c r="C121" s="10"/>
      <c r="D121" s="10"/>
      <c r="E121" s="29">
        <f>E118</f>
        <v>3750</v>
      </c>
      <c r="F121" s="29"/>
      <c r="G121" s="29">
        <f>G153</f>
        <v>-225</v>
      </c>
      <c r="H121" s="29" t="str">
        <f t="shared" si="14"/>
        <v xml:space="preserve"> (list 3750 -225 )</v>
      </c>
      <c r="I121" s="29" t="s">
        <v>40</v>
      </c>
      <c r="J121" s="29"/>
      <c r="K121" s="29"/>
      <c r="U121" s="7" t="str">
        <f>CONCATENATE(U117,H120,H121,H122,V117,V117,W117,X117)</f>
        <v>(command "leader" (list 3750 75 ) (list 3750 -225 ) (list 3950 -225 ) "" "" "N")</v>
      </c>
      <c r="AG121" s="45" t="str">
        <f t="shared" si="2"/>
        <v>(command "leader" (list 3750 75 ) (list 3750 -225 ) (list 3950 -225 ) "" "" "N")</v>
      </c>
    </row>
    <row r="122" spans="1:33" hidden="1" x14ac:dyDescent="0.25">
      <c r="A122" s="10"/>
      <c r="B122" s="10"/>
      <c r="C122" s="10"/>
      <c r="D122" s="10"/>
      <c r="E122" s="29">
        <f>E119</f>
        <v>3950</v>
      </c>
      <c r="F122" s="29"/>
      <c r="G122" s="29">
        <f>G154</f>
        <v>-225</v>
      </c>
      <c r="H122" s="29" t="str">
        <f t="shared" si="14"/>
        <v xml:space="preserve"> (list 3950 -225 )</v>
      </c>
      <c r="I122" s="29" t="s">
        <v>41</v>
      </c>
      <c r="J122" s="29"/>
      <c r="K122" s="29"/>
    </row>
    <row r="123" spans="1:33" hidden="1" x14ac:dyDescent="0.25">
      <c r="A123" s="10"/>
      <c r="B123" s="10"/>
      <c r="C123" s="10"/>
      <c r="D123" s="10"/>
      <c r="E123" s="30" t="s">
        <v>21</v>
      </c>
      <c r="F123" s="30"/>
      <c r="G123" s="10"/>
      <c r="H123" s="10"/>
      <c r="I123" s="10"/>
      <c r="J123" s="10"/>
      <c r="K123" s="10"/>
      <c r="U123" s="1" t="s">
        <v>86</v>
      </c>
      <c r="V123" s="1" t="s">
        <v>27</v>
      </c>
      <c r="W123" s="1" t="s">
        <v>62</v>
      </c>
      <c r="X123" s="1" t="s">
        <v>28</v>
      </c>
    </row>
    <row r="124" spans="1:33" hidden="1" x14ac:dyDescent="0.25">
      <c r="A124" s="65" t="s">
        <v>62</v>
      </c>
      <c r="B124" s="10" t="s">
        <v>115</v>
      </c>
      <c r="C124" s="10"/>
      <c r="D124" s="10"/>
      <c r="E124" s="33">
        <f>E119+25</f>
        <v>3975</v>
      </c>
      <c r="F124" s="33"/>
      <c r="G124" s="33">
        <f>G119-$M$15/2</f>
        <v>625</v>
      </c>
      <c r="H124" s="33" t="str">
        <f t="shared" si="14"/>
        <v xml:space="preserve"> (list 3975 625 )</v>
      </c>
      <c r="I124" s="33"/>
      <c r="J124" s="33" t="s">
        <v>113</v>
      </c>
      <c r="K124" s="33"/>
      <c r="U124" s="6" t="str">
        <f>CONCATENATE(U123,H124," ",V123,$M$15,V123,X123,A124,V117,X117)</f>
        <v>(command "text" (list 3975 625 ) "100" "0" "2-16"  "")</v>
      </c>
      <c r="AG124" s="45" t="str">
        <f t="shared" si="2"/>
        <v>(command "text" (list 3975 625 ) "100" "0" "2-16"  "")</v>
      </c>
    </row>
    <row r="125" spans="1:33" hidden="1" x14ac:dyDescent="0.25">
      <c r="A125" s="65" t="s">
        <v>62</v>
      </c>
      <c r="B125" s="10" t="s">
        <v>116</v>
      </c>
      <c r="C125" s="10"/>
      <c r="D125" s="10"/>
      <c r="E125" s="33">
        <f>E124</f>
        <v>3975</v>
      </c>
      <c r="F125" s="33"/>
      <c r="G125" s="33">
        <f>G122-$M$15/2</f>
        <v>-275</v>
      </c>
      <c r="H125" s="33" t="str">
        <f t="shared" si="14"/>
        <v xml:space="preserve"> (list 3975 -275 )</v>
      </c>
      <c r="I125" s="33"/>
      <c r="J125" s="33" t="s">
        <v>114</v>
      </c>
      <c r="K125" s="33"/>
      <c r="U125" s="6" t="str">
        <f>CONCATENATE(U123,H125," ",V123,$M$15,V123,X123,A125,V117,X117)</f>
        <v>(command "text" (list 3975 -275 ) "100" "0" "2-16"  "")</v>
      </c>
      <c r="AD125" s="43"/>
      <c r="AG125" s="45" t="str">
        <f t="shared" si="2"/>
        <v>(command "text" (list 3975 -275 ) "100" "0" "2-16"  "")</v>
      </c>
    </row>
    <row r="126" spans="1:33" hidden="1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U126" s="1" t="s">
        <v>89</v>
      </c>
      <c r="V126" s="1" t="s">
        <v>15</v>
      </c>
    </row>
    <row r="127" spans="1:33" hidden="1" x14ac:dyDescent="0.25">
      <c r="A127" s="8"/>
      <c r="B127" s="8"/>
      <c r="C127" s="8"/>
      <c r="D127" s="8"/>
      <c r="E127" s="8"/>
      <c r="F127" s="8"/>
      <c r="G127" s="8"/>
      <c r="H127" s="17"/>
      <c r="I127" s="8"/>
      <c r="J127" s="8"/>
      <c r="K127" s="8"/>
      <c r="U127" s="2" t="str">
        <f>CONCATENATE(U126,$M$14,V126)</f>
        <v>(command "dimasz" 75 "")</v>
      </c>
    </row>
    <row r="128" spans="1:33" hidden="1" x14ac:dyDescent="0.25">
      <c r="A128" s="10"/>
      <c r="B128" s="10"/>
      <c r="C128" s="10"/>
      <c r="D128" s="10"/>
      <c r="E128" s="30" t="s">
        <v>61</v>
      </c>
      <c r="F128" s="30"/>
      <c r="G128" s="33"/>
      <c r="H128" s="33"/>
      <c r="I128" s="33"/>
      <c r="J128" s="33"/>
      <c r="K128" s="33"/>
      <c r="U128" s="35"/>
      <c r="AD128" s="43"/>
    </row>
    <row r="129" spans="1:33" hidden="1" x14ac:dyDescent="0.25">
      <c r="A129" s="10"/>
      <c r="B129" s="10"/>
      <c r="C129" s="10"/>
      <c r="D129" s="10"/>
      <c r="E129" s="33">
        <f>E67</f>
        <v>500</v>
      </c>
      <c r="F129" s="33"/>
      <c r="G129" s="33">
        <f>G67</f>
        <v>-500</v>
      </c>
      <c r="H129" s="33" t="str">
        <f t="shared" si="14"/>
        <v xml:space="preserve"> (list 500 -500 )</v>
      </c>
      <c r="I129" s="33" t="s">
        <v>33</v>
      </c>
      <c r="J129" s="33"/>
      <c r="K129" s="33"/>
      <c r="U129" s="1" t="s">
        <v>82</v>
      </c>
      <c r="X129" s="1" t="s">
        <v>7</v>
      </c>
      <c r="AD129" s="43"/>
    </row>
    <row r="130" spans="1:33" hidden="1" x14ac:dyDescent="0.25">
      <c r="A130" s="10"/>
      <c r="B130" s="10"/>
      <c r="C130" s="10"/>
      <c r="D130" s="10"/>
      <c r="E130" s="33">
        <f>E70</f>
        <v>7000</v>
      </c>
      <c r="F130" s="33"/>
      <c r="G130" s="33">
        <f>G70</f>
        <v>-500</v>
      </c>
      <c r="H130" s="33" t="str">
        <f t="shared" si="14"/>
        <v xml:space="preserve"> (list 7000 -500 )</v>
      </c>
      <c r="I130" s="33" t="s">
        <v>34</v>
      </c>
      <c r="J130" s="33"/>
      <c r="K130" s="33"/>
      <c r="U130" s="9" t="str">
        <f>IF($V$22&gt;(D113-1),CONCATENATE(U129,H129,H130,H131,X129),"")</f>
        <v>(command "dimlinear" (list 500 -500 ) (list 7000 -500 ) (list 7000 -500 ))</v>
      </c>
      <c r="AD130" s="43"/>
      <c r="AG130" s="45" t="str">
        <f t="shared" si="2"/>
        <v>(command "dimlinear" (list 500 -500 ) (list 7000 -500 ) (list 7000 -500 ))</v>
      </c>
    </row>
    <row r="131" spans="1:33" hidden="1" x14ac:dyDescent="0.25">
      <c r="A131" s="10" t="s">
        <v>29</v>
      </c>
      <c r="B131" s="10"/>
      <c r="C131" s="10"/>
      <c r="D131" s="10"/>
      <c r="E131" s="33">
        <f>E130</f>
        <v>7000</v>
      </c>
      <c r="F131" s="33"/>
      <c r="G131" s="33">
        <f>G130</f>
        <v>-500</v>
      </c>
      <c r="H131" s="33" t="str">
        <f t="shared" si="14"/>
        <v xml:space="preserve"> (list 7000 -500 )</v>
      </c>
      <c r="I131" s="33" t="s">
        <v>112</v>
      </c>
      <c r="J131" s="33"/>
      <c r="K131" s="33"/>
      <c r="U131" s="1" t="s">
        <v>86</v>
      </c>
      <c r="V131" s="1" t="s">
        <v>27</v>
      </c>
      <c r="W131" s="1" t="str">
        <f>A131</f>
        <v xml:space="preserve"> "2L-8# @ 150 C/C" </v>
      </c>
      <c r="X131" s="1" t="s">
        <v>28</v>
      </c>
      <c r="AA131" s="1" t="s">
        <v>30</v>
      </c>
      <c r="AB131" s="1" t="s">
        <v>31</v>
      </c>
      <c r="AD131" s="43"/>
    </row>
    <row r="132" spans="1:33" hidden="1" x14ac:dyDescent="0.25">
      <c r="A132" s="10"/>
      <c r="B132" s="10"/>
      <c r="C132" s="10"/>
      <c r="D132" s="10"/>
      <c r="E132" s="33">
        <f>(E129+E130)/2</f>
        <v>3750</v>
      </c>
      <c r="F132" s="33"/>
      <c r="G132" s="33">
        <f>G131+$C$14</f>
        <v>-425</v>
      </c>
      <c r="H132" s="33" t="str">
        <f t="shared" si="14"/>
        <v xml:space="preserve"> (list 3750 -425 )</v>
      </c>
      <c r="I132" s="33" t="s">
        <v>111</v>
      </c>
      <c r="J132" s="33"/>
      <c r="K132" s="33"/>
      <c r="U132" s="9" t="str">
        <f>IF($V$22&gt;(D113-1),CONCATENATE(U131,AA131,AB131,H132," ",V131,$M$15,V131,X131,W131,X129),"")</f>
        <v>(command "text" "j" "MC" (list 3750 -425 ) "100" "0" "2L-8# @ 150 C/C" )</v>
      </c>
      <c r="AD132" s="43"/>
      <c r="AG132" s="45" t="str">
        <f t="shared" ref="AG132:AG233" si="15">U132</f>
        <v>(command "text" "j" "MC" (list 3750 -425 ) "100" "0" "2L-8# @ 150 C/C" )</v>
      </c>
    </row>
    <row r="133" spans="1:33" hidden="1" x14ac:dyDescent="0.25">
      <c r="A133" s="12"/>
      <c r="B133" s="11" t="s">
        <v>60</v>
      </c>
      <c r="C133" s="12"/>
    </row>
    <row r="134" spans="1:33" hidden="1" x14ac:dyDescent="0.25">
      <c r="A134" s="12"/>
      <c r="B134" s="11"/>
      <c r="C134" s="12"/>
    </row>
    <row r="135" spans="1:33" hidden="1" x14ac:dyDescent="0.25">
      <c r="A135" s="12"/>
      <c r="B135" s="11"/>
      <c r="C135" s="12"/>
      <c r="E135" s="29"/>
      <c r="F135" s="29"/>
      <c r="G135" s="29"/>
      <c r="H135" s="29"/>
      <c r="I135" s="29"/>
      <c r="J135" s="29"/>
      <c r="K135" s="29"/>
      <c r="U135" s="1" t="s">
        <v>89</v>
      </c>
      <c r="V135" s="1" t="s">
        <v>15</v>
      </c>
    </row>
    <row r="136" spans="1:33" hidden="1" x14ac:dyDescent="0.25">
      <c r="A136" s="12"/>
      <c r="B136" s="11"/>
      <c r="C136" s="12"/>
      <c r="E136" s="29"/>
      <c r="F136" s="29"/>
      <c r="G136" s="29"/>
      <c r="H136" s="29"/>
      <c r="I136" s="29"/>
      <c r="J136" s="29"/>
      <c r="K136" s="29"/>
      <c r="U136" s="2" t="str">
        <f>CONCATENATE(U135,$M$14,V135)</f>
        <v>(command "dimasz" 75 "")</v>
      </c>
      <c r="AG136" s="45" t="str">
        <f t="shared" si="15"/>
        <v>(command "dimasz" 75 "")</v>
      </c>
    </row>
    <row r="137" spans="1:33" hidden="1" x14ac:dyDescent="0.25">
      <c r="A137" s="12"/>
      <c r="B137" s="11"/>
      <c r="C137" s="12"/>
      <c r="E137" s="29"/>
      <c r="F137" s="29"/>
      <c r="G137" s="29"/>
      <c r="H137" s="29"/>
      <c r="I137" s="29"/>
      <c r="J137" s="29"/>
      <c r="K137" s="29"/>
    </row>
    <row r="138" spans="1:33" hidden="1" x14ac:dyDescent="0.25">
      <c r="A138" s="12"/>
      <c r="B138" s="11"/>
      <c r="C138" s="12"/>
      <c r="E138" s="29"/>
      <c r="F138" s="29"/>
      <c r="G138" s="29"/>
      <c r="H138" s="29"/>
      <c r="I138" s="29"/>
      <c r="J138" s="29"/>
      <c r="K138" s="29"/>
    </row>
    <row r="139" spans="1:33" hidden="1" x14ac:dyDescent="0.25">
      <c r="A139" s="12"/>
      <c r="B139" s="11"/>
      <c r="C139" s="12"/>
    </row>
    <row r="140" spans="1:33" ht="21" hidden="1" x14ac:dyDescent="0.35">
      <c r="A140" s="13"/>
      <c r="B140" s="13"/>
      <c r="C140" s="14"/>
      <c r="D140" s="103">
        <v>2</v>
      </c>
      <c r="E140" s="15">
        <f>$B$7+$H$7/2+B150+C151/2</f>
        <v>7500</v>
      </c>
      <c r="F140" s="15"/>
      <c r="G140" s="15">
        <f>$C$7-$C$12</f>
        <v>-500</v>
      </c>
      <c r="H140" s="15" t="str">
        <f t="shared" si="14"/>
        <v xml:space="preserve"> (list 7500 -500 )</v>
      </c>
      <c r="I140" s="8" t="s">
        <v>47</v>
      </c>
      <c r="J140" s="8"/>
      <c r="K140" s="8"/>
      <c r="U140" s="1" t="s">
        <v>81</v>
      </c>
      <c r="V140" s="1" t="s">
        <v>15</v>
      </c>
    </row>
    <row r="141" spans="1:33" hidden="1" x14ac:dyDescent="0.25">
      <c r="A141" s="13"/>
      <c r="B141" s="13"/>
      <c r="C141" s="14"/>
      <c r="D141" s="8"/>
      <c r="E141" s="15">
        <f>E140</f>
        <v>7500</v>
      </c>
      <c r="F141" s="15"/>
      <c r="G141" s="15">
        <f>$C$7</f>
        <v>0</v>
      </c>
      <c r="H141" s="15" t="str">
        <f t="shared" si="14"/>
        <v xml:space="preserve"> (list 7500 0 )</v>
      </c>
      <c r="I141" s="8" t="s">
        <v>48</v>
      </c>
      <c r="J141" s="8"/>
      <c r="K141" s="8"/>
      <c r="U141" s="7" t="str">
        <f>CONCATENATE(U140,$M$9,V140)</f>
        <v>(command "color" 1 "")</v>
      </c>
      <c r="AG141" s="45" t="str">
        <f t="shared" si="15"/>
        <v>(command "color" 1 "")</v>
      </c>
    </row>
    <row r="142" spans="1:33" hidden="1" x14ac:dyDescent="0.25">
      <c r="A142" s="13"/>
      <c r="B142" s="13"/>
      <c r="C142" s="14"/>
      <c r="D142" s="8"/>
      <c r="E142" s="15">
        <f>$B$7+$H$7/2+B151-C152/2</f>
        <v>12000</v>
      </c>
      <c r="F142" s="15"/>
      <c r="G142" s="15">
        <f>G141</f>
        <v>0</v>
      </c>
      <c r="H142" s="15" t="str">
        <f t="shared" si="14"/>
        <v xml:space="preserve"> (list 12000 0 )</v>
      </c>
      <c r="I142" s="8" t="s">
        <v>49</v>
      </c>
      <c r="J142" s="8"/>
      <c r="K142" s="8"/>
      <c r="U142" s="1" t="s">
        <v>79</v>
      </c>
      <c r="V142" s="1" t="s">
        <v>15</v>
      </c>
    </row>
    <row r="143" spans="1:33" hidden="1" x14ac:dyDescent="0.25">
      <c r="A143" s="13"/>
      <c r="B143" s="13"/>
      <c r="C143" s="14"/>
      <c r="D143" s="8"/>
      <c r="E143" s="15">
        <f>$B$7+$H$7/2+B151-C152/2</f>
        <v>12000</v>
      </c>
      <c r="F143" s="15"/>
      <c r="G143" s="15">
        <f>G140</f>
        <v>-500</v>
      </c>
      <c r="H143" s="15" t="str">
        <f t="shared" si="14"/>
        <v xml:space="preserve"> (list 12000 -500 )</v>
      </c>
      <c r="I143" s="8" t="s">
        <v>50</v>
      </c>
      <c r="J143" s="8"/>
      <c r="K143" s="8"/>
      <c r="U143" s="9" t="str">
        <f>IF($V$22&gt;(D140-1),CONCATENATE(U142,H140,H141,H142,H143,V142),"")</f>
        <v>(command "line" (list 7500 -500 ) (list 7500 0 ) (list 12000 0 ) (list 12000 -500 ) "")</v>
      </c>
      <c r="AG143" s="45" t="str">
        <f t="shared" si="15"/>
        <v>(command "line" (list 7500 -500 ) (list 7500 0 ) (list 12000 0 ) (list 12000 -500 ) "")</v>
      </c>
    </row>
    <row r="144" spans="1:33" hidden="1" x14ac:dyDescent="0.25">
      <c r="A144" s="13"/>
      <c r="B144" s="13"/>
      <c r="C144" s="14"/>
      <c r="D144" s="8"/>
      <c r="E144" s="16">
        <f>E140</f>
        <v>7500</v>
      </c>
      <c r="F144" s="16"/>
      <c r="G144" s="16">
        <f>$C$7+$C$10+$C$12</f>
        <v>950</v>
      </c>
      <c r="H144" s="16" t="str">
        <f t="shared" si="14"/>
        <v xml:space="preserve"> (list 7500 950 )</v>
      </c>
      <c r="I144" s="8" t="s">
        <v>52</v>
      </c>
      <c r="J144" s="8"/>
      <c r="K144" s="8"/>
      <c r="U144" s="9" t="str">
        <f>IF($V$22&gt;(D140-1),CONCATENATE(U142,H144,H145,H146,H147,V142),"")</f>
        <v>(command "line" (list 7500 950 ) (list 7500 450 ) (list 12000 450 ) (list 12000 950 ) "")</v>
      </c>
      <c r="AG144" s="45" t="str">
        <f t="shared" si="15"/>
        <v>(command "line" (list 7500 950 ) (list 7500 450 ) (list 12000 450 ) (list 12000 950 ) "")</v>
      </c>
    </row>
    <row r="145" spans="1:33" hidden="1" x14ac:dyDescent="0.25">
      <c r="A145" s="13"/>
      <c r="B145" s="13"/>
      <c r="C145" s="14"/>
      <c r="D145" s="8"/>
      <c r="E145" s="16">
        <f>E141</f>
        <v>7500</v>
      </c>
      <c r="F145" s="16"/>
      <c r="G145" s="16">
        <f>$C$7+$C$10</f>
        <v>450</v>
      </c>
      <c r="H145" s="16" t="str">
        <f t="shared" si="14"/>
        <v xml:space="preserve"> (list 7500 450 )</v>
      </c>
      <c r="I145" s="8" t="s">
        <v>53</v>
      </c>
      <c r="J145" s="8"/>
      <c r="K145" s="8"/>
    </row>
    <row r="146" spans="1:33" hidden="1" x14ac:dyDescent="0.25">
      <c r="A146" s="13"/>
      <c r="B146" s="13"/>
      <c r="C146" s="14"/>
      <c r="D146" s="8"/>
      <c r="E146" s="16">
        <f>E142</f>
        <v>12000</v>
      </c>
      <c r="F146" s="16"/>
      <c r="G146" s="16">
        <f>G145</f>
        <v>450</v>
      </c>
      <c r="H146" s="16" t="str">
        <f t="shared" si="14"/>
        <v xml:space="preserve"> (list 12000 450 )</v>
      </c>
      <c r="I146" s="8" t="s">
        <v>54</v>
      </c>
      <c r="J146" s="8"/>
      <c r="K146" s="8"/>
    </row>
    <row r="147" spans="1:33" hidden="1" x14ac:dyDescent="0.25">
      <c r="A147" s="13"/>
      <c r="B147" s="13"/>
      <c r="C147" s="14"/>
      <c r="D147" s="8"/>
      <c r="E147" s="16">
        <f>E143</f>
        <v>12000</v>
      </c>
      <c r="F147" s="16"/>
      <c r="G147" s="16">
        <f>G144</f>
        <v>950</v>
      </c>
      <c r="H147" s="16" t="str">
        <f t="shared" si="14"/>
        <v xml:space="preserve"> (list 12000 950 )</v>
      </c>
      <c r="I147" s="8" t="s">
        <v>51</v>
      </c>
      <c r="J147" s="8"/>
      <c r="K147" s="8"/>
      <c r="U147" s="1" t="s">
        <v>81</v>
      </c>
      <c r="V147" s="1" t="s">
        <v>15</v>
      </c>
    </row>
    <row r="148" spans="1:33" hidden="1" x14ac:dyDescent="0.25">
      <c r="A148" s="13"/>
      <c r="B148" s="8"/>
      <c r="C148" s="8"/>
      <c r="D148" s="8"/>
      <c r="E148" s="8"/>
      <c r="F148" s="8"/>
      <c r="G148" s="8"/>
      <c r="H148" s="8"/>
      <c r="I148" s="8"/>
      <c r="J148" s="8"/>
      <c r="K148" s="8"/>
      <c r="U148" s="7" t="str">
        <f>CONCATENATE(U147,$M$11,V147)</f>
        <v>(command "color" 3 "")</v>
      </c>
      <c r="AG148" s="45" t="str">
        <f t="shared" si="15"/>
        <v>(command "color" 3 "")</v>
      </c>
    </row>
    <row r="149" spans="1:33" hidden="1" x14ac:dyDescent="0.25">
      <c r="A149" s="22" t="s">
        <v>3</v>
      </c>
      <c r="B149" s="22" t="s">
        <v>9</v>
      </c>
      <c r="C149" s="23" t="s">
        <v>0</v>
      </c>
      <c r="D149" s="8"/>
      <c r="E149" s="17">
        <f>(E145+E146)/2</f>
        <v>9750</v>
      </c>
      <c r="F149" s="17"/>
      <c r="G149" s="17">
        <f>$C$7+$C$10-$C$14</f>
        <v>375</v>
      </c>
      <c r="H149" s="17" t="str">
        <f t="shared" si="14"/>
        <v xml:space="preserve"> (list 9750 375 )</v>
      </c>
      <c r="I149" s="18" t="s">
        <v>36</v>
      </c>
      <c r="J149" s="18"/>
      <c r="K149" s="18"/>
      <c r="U149" s="1" t="s">
        <v>84</v>
      </c>
      <c r="V149" s="1" t="s">
        <v>22</v>
      </c>
      <c r="W149" s="5" t="s">
        <v>23</v>
      </c>
      <c r="X149" s="1" t="s">
        <v>7</v>
      </c>
    </row>
    <row r="150" spans="1:33" hidden="1" x14ac:dyDescent="0.25">
      <c r="A150" s="13"/>
      <c r="B150" s="8">
        <f>VLOOKUP(D140-1,$D$7:$H$17,4)</f>
        <v>7000</v>
      </c>
      <c r="C150" s="8"/>
      <c r="D150" s="8"/>
      <c r="E150" s="17">
        <f>E149</f>
        <v>9750</v>
      </c>
      <c r="F150" s="17"/>
      <c r="G150" s="17">
        <f>G149+$M$12</f>
        <v>675</v>
      </c>
      <c r="H150" s="17" t="str">
        <f t="shared" si="14"/>
        <v xml:space="preserve"> (list 9750 675 )</v>
      </c>
      <c r="I150" s="18" t="s">
        <v>37</v>
      </c>
      <c r="J150" s="18"/>
      <c r="K150" s="18"/>
      <c r="U150" s="7" t="str">
        <f>IF($V$22&gt;(D140-1),CONCATENATE(U149,H149,H150,H151,V149,V149,W149,X149),"")</f>
        <v>(command "leader" (list 9750 375 ) (list 9750 675 ) (list 9950 675 ) "" "" "N")</v>
      </c>
      <c r="AG150" s="45" t="str">
        <f t="shared" si="15"/>
        <v>(command "leader" (list 9750 375 ) (list 9750 675 ) (list 9950 675 ) "" "" "N")</v>
      </c>
    </row>
    <row r="151" spans="1:33" hidden="1" x14ac:dyDescent="0.25">
      <c r="A151" s="13"/>
      <c r="B151" s="8">
        <f>B150+A153</f>
        <v>12000</v>
      </c>
      <c r="C151" s="8">
        <f>VLOOKUP(D140,$D$7:$H$17,5)</f>
        <v>500</v>
      </c>
      <c r="D151" s="8"/>
      <c r="E151" s="17">
        <f>E150+$M$13</f>
        <v>9950</v>
      </c>
      <c r="F151" s="17"/>
      <c r="G151" s="17">
        <f>G150</f>
        <v>675</v>
      </c>
      <c r="H151" s="17" t="str">
        <f t="shared" si="14"/>
        <v xml:space="preserve"> (list 9950 675 )</v>
      </c>
      <c r="I151" s="18" t="s">
        <v>38</v>
      </c>
      <c r="J151" s="18"/>
      <c r="K151" s="18"/>
    </row>
    <row r="152" spans="1:33" hidden="1" x14ac:dyDescent="0.25">
      <c r="A152" s="13">
        <f>VLOOKUP(D140-1,$D$7:$E$17,2)</f>
        <v>7000</v>
      </c>
      <c r="B152" s="8"/>
      <c r="C152" s="8">
        <f>VLOOKUP(D140+1,$D$7:$H$17,5)</f>
        <v>500</v>
      </c>
      <c r="D152" s="8"/>
      <c r="E152" s="19">
        <f>E149</f>
        <v>9750</v>
      </c>
      <c r="F152" s="19"/>
      <c r="G152" s="19">
        <f>$C$7+$C$14</f>
        <v>75</v>
      </c>
      <c r="H152" s="19" t="str">
        <f t="shared" si="14"/>
        <v xml:space="preserve"> (list 9750 75 )</v>
      </c>
      <c r="I152" s="19" t="s">
        <v>39</v>
      </c>
      <c r="J152" s="19"/>
      <c r="K152" s="19"/>
      <c r="U152" s="1" t="s">
        <v>84</v>
      </c>
      <c r="V152" s="1" t="s">
        <v>22</v>
      </c>
      <c r="W152" s="5" t="s">
        <v>23</v>
      </c>
      <c r="X152" s="1" t="s">
        <v>7</v>
      </c>
    </row>
    <row r="153" spans="1:33" hidden="1" x14ac:dyDescent="0.25">
      <c r="A153" s="13">
        <f>VLOOKUP(D140,$D$7:$H$17,2)</f>
        <v>5000</v>
      </c>
      <c r="B153" s="8"/>
      <c r="C153" s="8"/>
      <c r="D153" s="8"/>
      <c r="E153" s="19">
        <f>E152</f>
        <v>9750</v>
      </c>
      <c r="F153" s="19"/>
      <c r="G153" s="19">
        <f>G152-$M$12</f>
        <v>-225</v>
      </c>
      <c r="H153" s="19" t="str">
        <f t="shared" si="14"/>
        <v xml:space="preserve"> (list 9750 -225 )</v>
      </c>
      <c r="I153" s="19" t="s">
        <v>40</v>
      </c>
      <c r="J153" s="19"/>
      <c r="K153" s="19"/>
      <c r="U153" s="7" t="str">
        <f>IF($V$22&gt;(D140-1),CONCATENATE(U152,H152,H153,H154,V152,V152,W152,X152),"")</f>
        <v>(command "leader" (list 9750 75 ) (list 9750 -225 ) (list 9950 -225 ) "" "" "N")</v>
      </c>
      <c r="AG153" s="45" t="str">
        <f t="shared" si="15"/>
        <v>(command "leader" (list 9750 75 ) (list 9750 -225 ) (list 9950 -225 ) "" "" "N")</v>
      </c>
    </row>
    <row r="154" spans="1:33" hidden="1" x14ac:dyDescent="0.25">
      <c r="A154" s="13"/>
      <c r="B154" s="8"/>
      <c r="C154" s="8"/>
      <c r="D154" s="8"/>
      <c r="E154" s="19">
        <f>E153+$M$13</f>
        <v>9950</v>
      </c>
      <c r="F154" s="19"/>
      <c r="G154" s="19">
        <f>G153</f>
        <v>-225</v>
      </c>
      <c r="H154" s="19" t="str">
        <f t="shared" si="14"/>
        <v xml:space="preserve"> (list 9950 -225 )</v>
      </c>
      <c r="I154" s="19" t="s">
        <v>41</v>
      </c>
      <c r="J154" s="19"/>
      <c r="K154" s="19"/>
      <c r="U154" s="1" t="s">
        <v>82</v>
      </c>
      <c r="X154" s="1" t="s">
        <v>7</v>
      </c>
    </row>
    <row r="155" spans="1:33" hidden="1" x14ac:dyDescent="0.25">
      <c r="A155" s="13"/>
      <c r="B155" s="8"/>
      <c r="C155" s="8"/>
      <c r="D155" s="8"/>
      <c r="E155" s="20">
        <f>$B$7+$H$7/2+B150+C151/2</f>
        <v>7500</v>
      </c>
      <c r="F155" s="20"/>
      <c r="G155" s="20">
        <f>$C$7-$C$12</f>
        <v>-500</v>
      </c>
      <c r="H155" s="20" t="str">
        <f t="shared" si="14"/>
        <v xml:space="preserve"> (list 7500 -500 )</v>
      </c>
      <c r="I155" s="20" t="s">
        <v>33</v>
      </c>
      <c r="J155" s="20"/>
      <c r="K155" s="20"/>
      <c r="U155" s="9" t="str">
        <f>IF($V$22&gt;(D140-1),CONCATENATE(U154,H155,H156,H157,X154),"")</f>
        <v>(command "dimlinear" (list 7500 -500 ) (list 12000 -500 ) (list 12000 -500 ))</v>
      </c>
      <c r="AG155" s="45" t="str">
        <f t="shared" si="15"/>
        <v>(command "dimlinear" (list 7500 -500 ) (list 12000 -500 ) (list 12000 -500 ))</v>
      </c>
    </row>
    <row r="156" spans="1:33" hidden="1" x14ac:dyDescent="0.25">
      <c r="A156" s="13"/>
      <c r="B156" s="8"/>
      <c r="C156" s="8"/>
      <c r="D156" s="8"/>
      <c r="E156" s="20">
        <f>$B$7+$H$7/2+B151-C152/2</f>
        <v>12000</v>
      </c>
      <c r="F156" s="20"/>
      <c r="G156" s="20">
        <f>$C$7-$C$12</f>
        <v>-500</v>
      </c>
      <c r="H156" s="20" t="str">
        <f t="shared" si="14"/>
        <v xml:space="preserve"> (list 12000 -500 )</v>
      </c>
      <c r="I156" s="20" t="s">
        <v>34</v>
      </c>
      <c r="J156" s="20"/>
      <c r="K156" s="20"/>
      <c r="U156" s="1" t="s">
        <v>86</v>
      </c>
      <c r="V156" s="1" t="s">
        <v>27</v>
      </c>
      <c r="W156" s="1" t="str">
        <f>A157</f>
        <v xml:space="preserve"> "2L-8# @ 150 C/C" </v>
      </c>
      <c r="X156" s="1" t="s">
        <v>28</v>
      </c>
      <c r="AA156" s="1" t="s">
        <v>30</v>
      </c>
      <c r="AB156" s="1" t="s">
        <v>31</v>
      </c>
    </row>
    <row r="157" spans="1:33" hidden="1" x14ac:dyDescent="0.25">
      <c r="A157" s="66" t="s">
        <v>29</v>
      </c>
      <c r="B157" s="8"/>
      <c r="C157" s="8"/>
      <c r="D157" s="8"/>
      <c r="E157" s="20">
        <f>E156</f>
        <v>12000</v>
      </c>
      <c r="F157" s="20"/>
      <c r="G157" s="20">
        <f>G156</f>
        <v>-500</v>
      </c>
      <c r="H157" s="20" t="str">
        <f t="shared" si="14"/>
        <v xml:space="preserve"> (list 12000 -500 )</v>
      </c>
      <c r="I157" s="20" t="s">
        <v>35</v>
      </c>
      <c r="J157" s="20"/>
      <c r="K157" s="20"/>
      <c r="U157" s="9" t="str">
        <f>IF($V$22&gt;(D140-1),CONCATENATE(U156,AA156,AB156,H158," ",V156,$M$15,V156,X156,W156,X154),"")</f>
        <v>(command "text" "j" "MC" (list 9750 -425 ) "100" "0" "2L-8# @ 150 C/C" )</v>
      </c>
      <c r="AG157" s="45" t="str">
        <f t="shared" si="15"/>
        <v>(command "text" "j" "MC" (list 9750 -425 ) "100" "0" "2L-8# @ 150 C/C" )</v>
      </c>
    </row>
    <row r="158" spans="1:33" hidden="1" x14ac:dyDescent="0.25">
      <c r="A158" s="13"/>
      <c r="B158" s="8"/>
      <c r="C158" s="8"/>
      <c r="D158" s="8"/>
      <c r="E158" s="20">
        <f>(E155+E156)/2</f>
        <v>9750</v>
      </c>
      <c r="F158" s="20"/>
      <c r="G158" s="20">
        <f>G157+$C$14</f>
        <v>-425</v>
      </c>
      <c r="H158" s="20" t="str">
        <f t="shared" si="14"/>
        <v xml:space="preserve"> (list 9750 -425 )</v>
      </c>
      <c r="I158" s="20" t="s">
        <v>117</v>
      </c>
      <c r="J158" s="20"/>
      <c r="K158" s="20"/>
    </row>
    <row r="159" spans="1:33" hidden="1" x14ac:dyDescent="0.25">
      <c r="A159" s="13"/>
      <c r="B159" s="8"/>
      <c r="C159" s="8"/>
      <c r="D159" s="8"/>
      <c r="E159" s="17">
        <f>E155+$C$15</f>
        <v>8000</v>
      </c>
      <c r="F159" s="17"/>
      <c r="G159" s="17">
        <f>G149+$C$14/2</f>
        <v>412.5</v>
      </c>
      <c r="H159" s="17" t="str">
        <f t="shared" si="14"/>
        <v xml:space="preserve"> (list 8000 412.5 )</v>
      </c>
      <c r="I159" s="17" t="s">
        <v>42</v>
      </c>
      <c r="J159" s="17"/>
      <c r="K159" s="17"/>
      <c r="U159" s="1" t="s">
        <v>79</v>
      </c>
      <c r="V159" s="1" t="s">
        <v>15</v>
      </c>
    </row>
    <row r="160" spans="1:33" hidden="1" x14ac:dyDescent="0.25">
      <c r="A160" s="13"/>
      <c r="B160" s="8"/>
      <c r="C160" s="8"/>
      <c r="D160" s="8"/>
      <c r="E160" s="17">
        <f>E155+$C$15</f>
        <v>8000</v>
      </c>
      <c r="F160" s="17"/>
      <c r="G160" s="17">
        <f>G152-$C$14/2</f>
        <v>37.5</v>
      </c>
      <c r="H160" s="17" t="str">
        <f t="shared" si="14"/>
        <v xml:space="preserve"> (list 8000 37.5 )</v>
      </c>
      <c r="I160" s="17" t="s">
        <v>43</v>
      </c>
      <c r="J160" s="17"/>
      <c r="K160" s="17"/>
      <c r="U160" s="10" t="str">
        <f>IF($V$22&gt;(D140-1),CONCATENATE($U$159,H159,H160,V159),"")</f>
        <v>(command "line" (list 8000 412.5 ) (list 8000 37.5 ) "")</v>
      </c>
      <c r="AG160" s="45" t="str">
        <f t="shared" si="15"/>
        <v>(command "line" (list 8000 412.5 ) (list 8000 37.5 ) "")</v>
      </c>
    </row>
    <row r="161" spans="1:33" hidden="1" x14ac:dyDescent="0.25">
      <c r="A161" s="13"/>
      <c r="B161" s="8"/>
      <c r="C161" s="8"/>
      <c r="D161" s="8"/>
      <c r="E161" s="17">
        <f>E159+200</f>
        <v>8200</v>
      </c>
      <c r="F161" s="17"/>
      <c r="G161" s="17">
        <f>G159</f>
        <v>412.5</v>
      </c>
      <c r="H161" s="17" t="str">
        <f t="shared" si="14"/>
        <v xml:space="preserve"> (list 8200 412.5 )</v>
      </c>
      <c r="I161" s="17" t="s">
        <v>44</v>
      </c>
      <c r="J161" s="17"/>
      <c r="K161" s="17"/>
      <c r="U161" s="10" t="str">
        <f>IF($V$22&gt;(D140-1),CONCATENATE($U$159,H161,H162,V159),"")</f>
        <v>(command "line" (list 8200 412.5 ) (list 8200 37.5 ) "")</v>
      </c>
      <c r="AG161" s="45" t="str">
        <f t="shared" si="15"/>
        <v>(command "line" (list 8200 412.5 ) (list 8200 37.5 ) "")</v>
      </c>
    </row>
    <row r="162" spans="1:33" hidden="1" x14ac:dyDescent="0.25">
      <c r="A162" s="13"/>
      <c r="B162" s="8"/>
      <c r="C162" s="8"/>
      <c r="D162" s="8"/>
      <c r="E162" s="17">
        <f>E160+200</f>
        <v>8200</v>
      </c>
      <c r="F162" s="17"/>
      <c r="G162" s="17">
        <f>G160</f>
        <v>37.5</v>
      </c>
      <c r="H162" s="17" t="str">
        <f t="shared" si="14"/>
        <v xml:space="preserve"> (list 8200 37.5 )</v>
      </c>
      <c r="I162" s="17" t="s">
        <v>45</v>
      </c>
      <c r="J162" s="17"/>
      <c r="K162" s="17"/>
    </row>
    <row r="163" spans="1:33" hidden="1" x14ac:dyDescent="0.25">
      <c r="A163" s="13"/>
      <c r="B163" s="8"/>
      <c r="C163" s="8"/>
      <c r="D163" s="8"/>
      <c r="E163" s="21" t="s">
        <v>21</v>
      </c>
      <c r="F163" s="21"/>
      <c r="G163" s="8"/>
      <c r="H163" s="8"/>
      <c r="I163" s="8"/>
      <c r="J163" s="8"/>
      <c r="K163" s="8"/>
      <c r="U163" s="1" t="s">
        <v>86</v>
      </c>
      <c r="V163" s="1" t="s">
        <v>27</v>
      </c>
      <c r="W163" s="1" t="s">
        <v>63</v>
      </c>
      <c r="X163" s="1" t="s">
        <v>28</v>
      </c>
      <c r="AA163" s="1" t="s">
        <v>30</v>
      </c>
      <c r="AB163" s="1" t="s">
        <v>32</v>
      </c>
    </row>
    <row r="164" spans="1:33" hidden="1" x14ac:dyDescent="0.25">
      <c r="A164" s="8" t="s">
        <v>62</v>
      </c>
      <c r="B164" s="8" t="s">
        <v>115</v>
      </c>
      <c r="C164" s="8"/>
      <c r="D164" s="8"/>
      <c r="E164" s="8">
        <f>E151+50</f>
        <v>10000</v>
      </c>
      <c r="F164" s="8"/>
      <c r="G164" s="8">
        <f>G151</f>
        <v>675</v>
      </c>
      <c r="H164" s="17" t="str">
        <f t="shared" ref="H164:H165" si="16">CONCATENATE(" (list ",E164," ",G164," ",")")</f>
        <v xml:space="preserve"> (list 10000 675 )</v>
      </c>
      <c r="I164" s="8" t="s">
        <v>113</v>
      </c>
      <c r="J164" s="8"/>
      <c r="K164" s="8"/>
      <c r="U164" s="6" t="str">
        <f>IF($V$22&gt;(D140-1),CONCATENATE(U163,AA163,AB163,H164," ",V163,$M$15,V163,X163,A164,X164),"")</f>
        <v>(command "text" "j" "ML" (list 10000 675 ) "100" "0" "2-16" )</v>
      </c>
      <c r="V164" s="1" t="s">
        <v>22</v>
      </c>
      <c r="W164" s="5" t="s">
        <v>23</v>
      </c>
      <c r="X164" s="1" t="s">
        <v>7</v>
      </c>
      <c r="AG164" s="45" t="str">
        <f t="shared" si="15"/>
        <v>(command "text" "j" "ML" (list 10000 675 ) "100" "0" "2-16" )</v>
      </c>
    </row>
    <row r="165" spans="1:33" hidden="1" x14ac:dyDescent="0.25">
      <c r="A165" s="8" t="s">
        <v>62</v>
      </c>
      <c r="B165" s="8" t="s">
        <v>116</v>
      </c>
      <c r="C165" s="8"/>
      <c r="D165" s="8"/>
      <c r="E165" s="8">
        <f>E154+50</f>
        <v>10000</v>
      </c>
      <c r="F165" s="8"/>
      <c r="G165" s="8">
        <f>G154</f>
        <v>-225</v>
      </c>
      <c r="H165" s="17" t="str">
        <f t="shared" si="16"/>
        <v xml:space="preserve"> (list 10000 -225 )</v>
      </c>
      <c r="I165" s="8" t="s">
        <v>114</v>
      </c>
      <c r="J165" s="8"/>
      <c r="K165" s="8"/>
      <c r="U165" s="6" t="str">
        <f>IF($V$22&gt;(D140-1),CONCATENATE(U163,AA163,AB163,H165," ",V163,$M$15,V163,X163,A165,X164),"")</f>
        <v>(command "text" "j" "ML" (list 10000 -225 ) "100" "0" "2-16" )</v>
      </c>
      <c r="AD165" s="43"/>
      <c r="AG165" s="45" t="str">
        <f t="shared" si="15"/>
        <v>(command "text" "j" "ML" (list 10000 -225 ) "100" "0" "2-16" )</v>
      </c>
    </row>
    <row r="166" spans="1:33" hidden="1" x14ac:dyDescent="0.25">
      <c r="A166" s="6"/>
      <c r="B166" s="6"/>
      <c r="C166" s="6"/>
      <c r="D166" s="6"/>
      <c r="E166" s="6"/>
      <c r="F166" s="6"/>
      <c r="G166" s="6"/>
      <c r="H166" s="102"/>
      <c r="I166" s="6"/>
      <c r="J166" s="6"/>
      <c r="K166" s="6"/>
      <c r="U166" s="6"/>
      <c r="AD166" s="43"/>
    </row>
    <row r="167" spans="1:33" ht="15" hidden="1" customHeight="1" x14ac:dyDescent="0.25">
      <c r="A167" s="91" t="s">
        <v>118</v>
      </c>
      <c r="B167" s="91">
        <f>$E$8</f>
        <v>5000</v>
      </c>
      <c r="C167" s="8"/>
      <c r="D167" s="127" t="s">
        <v>131</v>
      </c>
      <c r="E167" s="8"/>
      <c r="F167" s="8"/>
      <c r="G167" s="8"/>
      <c r="H167" s="8"/>
      <c r="I167" s="8"/>
      <c r="J167" s="8"/>
      <c r="K167" s="8"/>
      <c r="U167" s="1" t="s">
        <v>81</v>
      </c>
      <c r="V167" s="1" t="s">
        <v>15</v>
      </c>
      <c r="AG167" s="90"/>
    </row>
    <row r="168" spans="1:33" ht="15" hidden="1" customHeight="1" x14ac:dyDescent="0.25">
      <c r="A168" s="91" t="s">
        <v>95</v>
      </c>
      <c r="B168" s="91">
        <f>B167/10</f>
        <v>500</v>
      </c>
      <c r="C168" s="8"/>
      <c r="D168" s="127"/>
      <c r="E168" s="92">
        <f>$B$7+$H$7/2+$G$7+$H$8/2+B168</f>
        <v>8000</v>
      </c>
      <c r="F168" s="92"/>
      <c r="G168" s="92">
        <f>$G$78</f>
        <v>150</v>
      </c>
      <c r="H168" s="92" t="str">
        <f t="shared" ref="H168:H171" si="17">CONCATENATE(" (list ",E168," ",G168," ",")")</f>
        <v xml:space="preserve"> (list 8000 150 )</v>
      </c>
      <c r="I168" s="92" t="s">
        <v>97</v>
      </c>
      <c r="J168" s="8"/>
      <c r="K168" s="8"/>
      <c r="U168" s="7" t="str">
        <f>CONCATENATE(U167,$M$10,V167)</f>
        <v>(command "color" 2 "")</v>
      </c>
      <c r="AG168" s="90" t="str">
        <f t="shared" ref="AG168" si="18">U168</f>
        <v>(command "color" 2 "")</v>
      </c>
    </row>
    <row r="169" spans="1:33" hidden="1" x14ac:dyDescent="0.25">
      <c r="A169" s="91" t="s">
        <v>96</v>
      </c>
      <c r="B169" s="91">
        <f>FLOOR(B167/3,1)</f>
        <v>1666</v>
      </c>
      <c r="C169" s="8"/>
      <c r="D169" s="127"/>
      <c r="E169" s="92">
        <f>$B$7+$H$7/2+$G$8-$H$9/2-B168</f>
        <v>11500</v>
      </c>
      <c r="F169" s="92"/>
      <c r="G169" s="92">
        <f>G168</f>
        <v>150</v>
      </c>
      <c r="H169" s="92" t="str">
        <f t="shared" si="17"/>
        <v xml:space="preserve"> (list 11500 150 )</v>
      </c>
      <c r="I169" s="92" t="s">
        <v>98</v>
      </c>
      <c r="J169" s="8"/>
      <c r="K169" s="8"/>
      <c r="U169" s="1" t="s">
        <v>79</v>
      </c>
      <c r="V169" s="1" t="s">
        <v>15</v>
      </c>
      <c r="AG169" s="90"/>
    </row>
    <row r="170" spans="1:33" hidden="1" x14ac:dyDescent="0.25">
      <c r="A170" s="91" t="s">
        <v>103</v>
      </c>
      <c r="B170" s="91">
        <f>E169-E168</f>
        <v>3500</v>
      </c>
      <c r="C170" s="8"/>
      <c r="D170" s="127"/>
      <c r="E170" s="20">
        <f>$B$7+$H$7/2+$G$7</f>
        <v>7250</v>
      </c>
      <c r="F170" s="20"/>
      <c r="G170" s="20">
        <f>$G$82</f>
        <v>300</v>
      </c>
      <c r="H170" s="20" t="str">
        <f t="shared" si="17"/>
        <v xml:space="preserve"> (list 7250 300 )</v>
      </c>
      <c r="I170" s="20" t="s">
        <v>100</v>
      </c>
      <c r="J170" s="8" t="s">
        <v>129</v>
      </c>
      <c r="K170" s="8"/>
      <c r="U170" s="62" t="str">
        <f>IF($V$22&gt;1,IF($I$8="Y",CONCATENATE($U$79,H168,H169,$V$79),""),"")</f>
        <v>(command "line" (list 8000 150 ) (list 11500 150 ) "")</v>
      </c>
      <c r="AG170" s="90" t="str">
        <f t="shared" ref="AG170:AG172" si="19">U170</f>
        <v>(command "line" (list 8000 150 ) (list 11500 150 ) "")</v>
      </c>
    </row>
    <row r="171" spans="1:33" hidden="1" x14ac:dyDescent="0.25">
      <c r="A171" s="91"/>
      <c r="B171" s="91"/>
      <c r="C171" s="8"/>
      <c r="D171" s="127"/>
      <c r="E171" s="20">
        <f>E170+B169</f>
        <v>8916</v>
      </c>
      <c r="F171" s="20"/>
      <c r="G171" s="20">
        <f>G170</f>
        <v>300</v>
      </c>
      <c r="H171" s="20" t="str">
        <f t="shared" si="17"/>
        <v xml:space="preserve"> (list 8916 300 )</v>
      </c>
      <c r="I171" s="20" t="s">
        <v>99</v>
      </c>
      <c r="J171" s="8"/>
      <c r="K171" s="8"/>
      <c r="U171" s="62" t="str">
        <f>IF($V$22&gt;1,IF($F$9="Y",CONCATENATE($U$79,H170,H171,$V$79),""),"")</f>
        <v>(command "line" (list 7250 300 ) (list 8916 300 ) "")</v>
      </c>
      <c r="AG171" s="90" t="str">
        <f t="shared" si="19"/>
        <v>(command "line" (list 7250 300 ) (list 8916 300 ) "")</v>
      </c>
    </row>
    <row r="172" spans="1:33" hidden="1" x14ac:dyDescent="0.25">
      <c r="A172" s="91"/>
      <c r="B172" s="91"/>
      <c r="C172" s="8"/>
      <c r="D172" s="127"/>
      <c r="E172" s="92">
        <f>E170+B167</f>
        <v>12250</v>
      </c>
      <c r="F172" s="92"/>
      <c r="G172" s="92">
        <f>G171</f>
        <v>300</v>
      </c>
      <c r="H172" s="92" t="str">
        <f>CONCATENATE(" (list ",E172," ",G172," ",")")</f>
        <v xml:space="preserve"> (list 12250 300 )</v>
      </c>
      <c r="I172" s="92" t="s">
        <v>132</v>
      </c>
      <c r="J172" s="8" t="s">
        <v>130</v>
      </c>
      <c r="K172" s="8"/>
      <c r="U172" s="62" t="str">
        <f>IF($V$22&gt;1,IF($F$10="Y",CONCATENATE($U$79,H172,H173,$V$79),""),"")</f>
        <v/>
      </c>
      <c r="AG172" s="90" t="str">
        <f t="shared" si="19"/>
        <v/>
      </c>
    </row>
    <row r="173" spans="1:33" hidden="1" x14ac:dyDescent="0.25">
      <c r="A173" s="91"/>
      <c r="B173" s="91"/>
      <c r="C173" s="8"/>
      <c r="D173" s="127"/>
      <c r="E173" s="92">
        <f>E172-B169</f>
        <v>10584</v>
      </c>
      <c r="F173" s="92"/>
      <c r="G173" s="92">
        <f>G171</f>
        <v>300</v>
      </c>
      <c r="H173" s="92" t="str">
        <f>CONCATENATE(" (list ",E173," ",G173," ",")")</f>
        <v xml:space="preserve"> (list 10584 300 )</v>
      </c>
      <c r="I173" s="92" t="s">
        <v>133</v>
      </c>
      <c r="J173" s="8"/>
      <c r="K173" s="8"/>
      <c r="U173" s="1" t="s">
        <v>81</v>
      </c>
      <c r="V173" s="1" t="s">
        <v>15</v>
      </c>
      <c r="AG173" s="90"/>
    </row>
    <row r="174" spans="1:33" hidden="1" x14ac:dyDescent="0.25">
      <c r="A174" s="100" t="s">
        <v>107</v>
      </c>
      <c r="B174" s="100"/>
      <c r="C174" s="17"/>
      <c r="D174" s="127"/>
      <c r="E174" s="93">
        <f>FLOOR(B170*2/3,1)+E168</f>
        <v>10333</v>
      </c>
      <c r="F174" s="93"/>
      <c r="G174" s="93">
        <f>G169</f>
        <v>150</v>
      </c>
      <c r="H174" s="93" t="str">
        <f t="shared" ref="H174:H181" si="20">CONCATENATE(" (list ",E174," ",G174," ",")")</f>
        <v xml:space="preserve"> (list 10333 150 )</v>
      </c>
      <c r="I174" s="93" t="s">
        <v>104</v>
      </c>
      <c r="J174" s="94"/>
      <c r="K174" s="95"/>
      <c r="U174" s="62" t="str">
        <f>CONCATENATE(U173,$M$11,V173)</f>
        <v>(command "color" 3 "")</v>
      </c>
      <c r="AG174" s="90" t="str">
        <f t="shared" ref="AG174" si="21">U174</f>
        <v>(command "color" 3 "")</v>
      </c>
    </row>
    <row r="175" spans="1:33" hidden="1" x14ac:dyDescent="0.25">
      <c r="A175" s="100" t="s">
        <v>108</v>
      </c>
      <c r="B175" s="100">
        <v>150</v>
      </c>
      <c r="C175" s="17"/>
      <c r="D175" s="127"/>
      <c r="E175" s="93">
        <f>E174+B175</f>
        <v>10483</v>
      </c>
      <c r="F175" s="93"/>
      <c r="G175" s="93">
        <f>G174+B176</f>
        <v>300</v>
      </c>
      <c r="H175" s="93" t="str">
        <f t="shared" si="20"/>
        <v xml:space="preserve"> (list 10483 300 )</v>
      </c>
      <c r="I175" s="93" t="s">
        <v>105</v>
      </c>
      <c r="J175" s="94"/>
      <c r="K175" s="95"/>
      <c r="U175" s="1" t="s">
        <v>84</v>
      </c>
      <c r="V175" s="1" t="s">
        <v>22</v>
      </c>
      <c r="W175" s="5" t="s">
        <v>23</v>
      </c>
      <c r="X175" s="1" t="s">
        <v>7</v>
      </c>
      <c r="AG175" s="90"/>
    </row>
    <row r="176" spans="1:33" hidden="1" x14ac:dyDescent="0.25">
      <c r="A176" s="100" t="s">
        <v>109</v>
      </c>
      <c r="B176" s="100">
        <v>150</v>
      </c>
      <c r="C176" s="17"/>
      <c r="D176" s="127"/>
      <c r="E176" s="93">
        <f>E175</f>
        <v>10483</v>
      </c>
      <c r="F176" s="93"/>
      <c r="G176" s="93">
        <f>G154</f>
        <v>-225</v>
      </c>
      <c r="H176" s="93" t="str">
        <f t="shared" si="20"/>
        <v xml:space="preserve"> (list 10483 -225 )</v>
      </c>
      <c r="I176" s="93" t="s">
        <v>106</v>
      </c>
      <c r="J176" s="94"/>
      <c r="K176" s="95"/>
      <c r="U176" s="62" t="str">
        <f>IF($V$22&gt;1,IF($F$8="Y",(CONCATENATE(U175,H174,H175,H176,H177,V175,V175,W175,X175)),""),"")</f>
        <v>(command "leader" (list 10333 150 ) (list 10483 300 ) (list 10483 -225 ) (list 10683 -225 ) "" "" "N")</v>
      </c>
      <c r="AG176" s="90" t="str">
        <f>U176</f>
        <v>(command "leader" (list 10333 150 ) (list 10483 300 ) (list 10483 -225 ) (list 10683 -225 ) "" "" "N")</v>
      </c>
    </row>
    <row r="177" spans="1:33" hidden="1" x14ac:dyDescent="0.25">
      <c r="A177" s="100"/>
      <c r="B177" s="100"/>
      <c r="C177" s="17"/>
      <c r="D177" s="127"/>
      <c r="E177" s="93">
        <f>E176+$M$13</f>
        <v>10683</v>
      </c>
      <c r="F177" s="93"/>
      <c r="G177" s="93">
        <f>G176</f>
        <v>-225</v>
      </c>
      <c r="H177" s="93" t="str">
        <f t="shared" si="20"/>
        <v xml:space="preserve"> (list 10683 -225 )</v>
      </c>
      <c r="I177" s="93" t="s">
        <v>110</v>
      </c>
      <c r="J177" s="94"/>
      <c r="K177" s="95"/>
      <c r="U177" s="1" t="s">
        <v>81</v>
      </c>
      <c r="V177" s="1" t="s">
        <v>15</v>
      </c>
      <c r="AG177" s="90"/>
    </row>
    <row r="178" spans="1:33" hidden="1" x14ac:dyDescent="0.25">
      <c r="A178" s="100"/>
      <c r="B178" s="100"/>
      <c r="C178" s="17"/>
      <c r="D178" s="127"/>
      <c r="E178" s="94">
        <f>E171-3*B175</f>
        <v>8466</v>
      </c>
      <c r="F178" s="94"/>
      <c r="G178" s="94">
        <f>G173</f>
        <v>300</v>
      </c>
      <c r="H178" s="94" t="str">
        <f t="shared" si="20"/>
        <v xml:space="preserve"> (list 8466 300 )</v>
      </c>
      <c r="I178" s="94" t="s">
        <v>122</v>
      </c>
      <c r="J178" s="96"/>
      <c r="K178" s="95"/>
      <c r="U178" s="62" t="str">
        <f>CONCATENATE(U177,$M$11,V177)</f>
        <v>(command "color" 3 "")</v>
      </c>
      <c r="AG178" s="90" t="str">
        <f>U178</f>
        <v>(command "color" 3 "")</v>
      </c>
    </row>
    <row r="179" spans="1:33" hidden="1" x14ac:dyDescent="0.25">
      <c r="A179" s="100"/>
      <c r="B179" s="100"/>
      <c r="C179" s="17"/>
      <c r="D179" s="127"/>
      <c r="E179" s="94">
        <f>E178+B175</f>
        <v>8616</v>
      </c>
      <c r="F179" s="94"/>
      <c r="G179" s="94">
        <f>G178-B176</f>
        <v>150</v>
      </c>
      <c r="H179" s="94" t="str">
        <f t="shared" si="20"/>
        <v xml:space="preserve"> (list 8616 150 )</v>
      </c>
      <c r="I179" s="94" t="s">
        <v>123</v>
      </c>
      <c r="J179" s="96"/>
      <c r="K179" s="95"/>
      <c r="U179" s="1" t="s">
        <v>84</v>
      </c>
      <c r="V179" s="1" t="s">
        <v>22</v>
      </c>
      <c r="W179" s="5" t="s">
        <v>23</v>
      </c>
      <c r="X179" s="1" t="s">
        <v>7</v>
      </c>
      <c r="AG179" s="90"/>
    </row>
    <row r="180" spans="1:33" hidden="1" x14ac:dyDescent="0.25">
      <c r="A180" s="100"/>
      <c r="B180" s="100"/>
      <c r="C180" s="17"/>
      <c r="D180" s="127"/>
      <c r="E180" s="94">
        <f>E179</f>
        <v>8616</v>
      </c>
      <c r="F180" s="94"/>
      <c r="G180" s="94">
        <f>G151</f>
        <v>675</v>
      </c>
      <c r="H180" s="94" t="str">
        <f t="shared" si="20"/>
        <v xml:space="preserve"> (list 8616 675 )</v>
      </c>
      <c r="I180" s="94" t="s">
        <v>124</v>
      </c>
      <c r="J180" s="96"/>
      <c r="K180" s="95"/>
      <c r="U180" s="62" t="str">
        <f>IF($V$22&gt;1,IF($I$8="Y",(CONCATENATE(U179,H178,H179,H180,H181,V179,V179,W179,X179)),""),"")</f>
        <v>(command "leader" (list 8466 300 ) (list 8616 150 ) (list 8616 675 ) (list 8816 675 ) "" "" "N")</v>
      </c>
      <c r="AG180" s="90" t="str">
        <f>U180</f>
        <v>(command "leader" (list 8466 300 ) (list 8616 150 ) (list 8616 675 ) (list 8816 675 ) "" "" "N")</v>
      </c>
    </row>
    <row r="181" spans="1:33" hidden="1" x14ac:dyDescent="0.25">
      <c r="A181" s="100"/>
      <c r="B181" s="100"/>
      <c r="C181" s="17"/>
      <c r="D181" s="127"/>
      <c r="E181" s="94">
        <f>E180+$M$13</f>
        <v>8816</v>
      </c>
      <c r="F181" s="94"/>
      <c r="G181" s="94">
        <f>G180</f>
        <v>675</v>
      </c>
      <c r="H181" s="94" t="str">
        <f t="shared" si="20"/>
        <v xml:space="preserve"> (list 8816 675 )</v>
      </c>
      <c r="I181" s="94" t="s">
        <v>125</v>
      </c>
      <c r="J181" s="96"/>
      <c r="K181" s="95"/>
      <c r="U181" s="1" t="s">
        <v>86</v>
      </c>
      <c r="V181" s="1" t="s">
        <v>27</v>
      </c>
      <c r="X181" s="1" t="s">
        <v>28</v>
      </c>
      <c r="Y181" s="1" t="s">
        <v>19</v>
      </c>
      <c r="AG181" s="90"/>
    </row>
    <row r="182" spans="1:33" hidden="1" x14ac:dyDescent="0.25">
      <c r="A182" s="100" t="s">
        <v>62</v>
      </c>
      <c r="B182" s="100" t="s">
        <v>127</v>
      </c>
      <c r="C182" s="17"/>
      <c r="D182" s="127"/>
      <c r="E182" s="93">
        <f>E177+25</f>
        <v>10708</v>
      </c>
      <c r="F182" s="93"/>
      <c r="G182" s="93">
        <f>G177-$M$15/2</f>
        <v>-275</v>
      </c>
      <c r="H182" s="93" t="str">
        <f>CONCATENATE(" (list ",E182," ",G182," ",")")</f>
        <v xml:space="preserve"> (list 10708 -275 )</v>
      </c>
      <c r="I182" s="93" t="s">
        <v>119</v>
      </c>
      <c r="J182" s="94"/>
      <c r="K182" s="95"/>
      <c r="U182" s="62" t="str">
        <f>IF($V$22&gt;1,IF($F$8="Y",CONCATENATE($U$90,H182," ",$V$90,M106,$V$90,$X$90,A182,$Y$90),""),"")</f>
        <v>(command "text" (list 10708 -275 ) "" "0" "2-16" "")</v>
      </c>
      <c r="AG182" s="90" t="str">
        <f>U182</f>
        <v>(command "text" (list 10708 -275 ) "" "0" "2-16" "")</v>
      </c>
    </row>
    <row r="183" spans="1:33" hidden="1" x14ac:dyDescent="0.25">
      <c r="A183" s="100" t="s">
        <v>62</v>
      </c>
      <c r="B183" s="100" t="s">
        <v>126</v>
      </c>
      <c r="C183" s="17"/>
      <c r="D183" s="127"/>
      <c r="E183" s="97">
        <f>E181+25</f>
        <v>8841</v>
      </c>
      <c r="F183" s="97"/>
      <c r="G183" s="97">
        <f>G181-$M$15/2</f>
        <v>625</v>
      </c>
      <c r="H183" s="97" t="str">
        <f>CONCATENATE(" (list ",E183," ",G183," ",")")</f>
        <v xml:space="preserve"> (list 8841 625 )</v>
      </c>
      <c r="I183" s="97" t="s">
        <v>120</v>
      </c>
      <c r="J183" s="98"/>
      <c r="K183" s="99"/>
      <c r="U183" s="62" t="str">
        <f>IF($V$22&gt;1,IF($I$8="Y",CONCATENATE(U181,H183," ",V181,M106,V181,X181,A183,Y181),""),"")</f>
        <v>(command "text" (list 8841 625 ) "" "0" "2-16" "")</v>
      </c>
      <c r="AG183" s="90" t="str">
        <f>U183</f>
        <v>(command "text" (list 8841 625 ) "" "0" "2-16" "")</v>
      </c>
    </row>
    <row r="184" spans="1:33" hidden="1" x14ac:dyDescent="0.25">
      <c r="A184" s="100"/>
      <c r="B184" s="100"/>
      <c r="C184" s="8"/>
      <c r="D184" s="17"/>
      <c r="E184" s="17"/>
      <c r="F184" s="17"/>
      <c r="G184" s="17"/>
      <c r="H184" s="8"/>
      <c r="I184" s="8"/>
      <c r="J184" s="8"/>
      <c r="K184" s="8"/>
      <c r="U184" s="104"/>
      <c r="AG184" s="90"/>
    </row>
    <row r="185" spans="1:33" hidden="1" x14ac:dyDescent="0.25"/>
    <row r="186" spans="1:33" ht="21" hidden="1" x14ac:dyDescent="0.35">
      <c r="A186" s="13"/>
      <c r="B186" s="13"/>
      <c r="C186" s="14"/>
      <c r="D186" s="103">
        <f>D140+1</f>
        <v>3</v>
      </c>
      <c r="E186" s="15">
        <f>$B$7+$H$7/2+B196+C197/2</f>
        <v>12500</v>
      </c>
      <c r="F186" s="15"/>
      <c r="G186" s="15">
        <f>$C$7-$C$12</f>
        <v>-500</v>
      </c>
      <c r="H186" s="15" t="str">
        <f t="shared" ref="H186:H193" si="22">CONCATENATE(" (list ",E186," ",G186," ",")")</f>
        <v xml:space="preserve"> (list 12500 -500 )</v>
      </c>
      <c r="I186" s="8" t="s">
        <v>47</v>
      </c>
      <c r="J186" s="8"/>
      <c r="K186" s="8"/>
      <c r="U186" s="1" t="s">
        <v>81</v>
      </c>
      <c r="V186" s="1" t="s">
        <v>15</v>
      </c>
    </row>
    <row r="187" spans="1:33" hidden="1" x14ac:dyDescent="0.25">
      <c r="A187" s="13"/>
      <c r="B187" s="13"/>
      <c r="C187" s="14"/>
      <c r="D187" s="8"/>
      <c r="E187" s="15">
        <f>E186</f>
        <v>12500</v>
      </c>
      <c r="F187" s="15"/>
      <c r="G187" s="15">
        <f>$C$7</f>
        <v>0</v>
      </c>
      <c r="H187" s="15" t="str">
        <f t="shared" si="22"/>
        <v xml:space="preserve"> (list 12500 0 )</v>
      </c>
      <c r="I187" s="8" t="s">
        <v>48</v>
      </c>
      <c r="J187" s="8"/>
      <c r="K187" s="8"/>
      <c r="U187" s="7" t="str">
        <f>CONCATENATE(U186,$M$9,V186)</f>
        <v>(command "color" 1 "")</v>
      </c>
      <c r="AG187" s="45" t="str">
        <f t="shared" si="15"/>
        <v>(command "color" 1 "")</v>
      </c>
    </row>
    <row r="188" spans="1:33" hidden="1" x14ac:dyDescent="0.25">
      <c r="A188" s="13"/>
      <c r="B188" s="13"/>
      <c r="C188" s="14"/>
      <c r="D188" s="8"/>
      <c r="E188" s="15">
        <f>$B$7+$H$7/2+B197-C198/2</f>
        <v>18000</v>
      </c>
      <c r="F188" s="15"/>
      <c r="G188" s="15">
        <f>G187</f>
        <v>0</v>
      </c>
      <c r="H188" s="15" t="str">
        <f t="shared" si="22"/>
        <v xml:space="preserve"> (list 18000 0 )</v>
      </c>
      <c r="I188" s="8" t="s">
        <v>49</v>
      </c>
      <c r="J188" s="8"/>
      <c r="K188" s="8"/>
      <c r="U188" s="1" t="s">
        <v>79</v>
      </c>
      <c r="V188" s="1" t="s">
        <v>15</v>
      </c>
    </row>
    <row r="189" spans="1:33" hidden="1" x14ac:dyDescent="0.25">
      <c r="A189" s="13"/>
      <c r="B189" s="13"/>
      <c r="C189" s="14"/>
      <c r="D189" s="8"/>
      <c r="E189" s="15">
        <f>$B$7+$H$7/2+B197-C198/2</f>
        <v>18000</v>
      </c>
      <c r="F189" s="15"/>
      <c r="G189" s="15">
        <f>G186</f>
        <v>-500</v>
      </c>
      <c r="H189" s="15" t="str">
        <f t="shared" si="22"/>
        <v xml:space="preserve"> (list 18000 -500 )</v>
      </c>
      <c r="I189" s="8" t="s">
        <v>50</v>
      </c>
      <c r="J189" s="8"/>
      <c r="K189" s="8"/>
      <c r="U189" s="9" t="str">
        <f>IF($V$22&gt;(D186-1),CONCATENATE(U188,H186,H187,H188,H189,V188),"")</f>
        <v>(command "line" (list 12500 -500 ) (list 12500 0 ) (list 18000 0 ) (list 18000 -500 ) "")</v>
      </c>
      <c r="AG189" s="45" t="str">
        <f t="shared" si="15"/>
        <v>(command "line" (list 12500 -500 ) (list 12500 0 ) (list 18000 0 ) (list 18000 -500 ) "")</v>
      </c>
    </row>
    <row r="190" spans="1:33" hidden="1" x14ac:dyDescent="0.25">
      <c r="A190" s="13"/>
      <c r="B190" s="13"/>
      <c r="C190" s="14"/>
      <c r="D190" s="8"/>
      <c r="E190" s="16">
        <f>E186</f>
        <v>12500</v>
      </c>
      <c r="F190" s="16"/>
      <c r="G190" s="16">
        <f>$C$7+$C$10+$C$12</f>
        <v>950</v>
      </c>
      <c r="H190" s="16" t="str">
        <f t="shared" si="22"/>
        <v xml:space="preserve"> (list 12500 950 )</v>
      </c>
      <c r="I190" s="8" t="s">
        <v>52</v>
      </c>
      <c r="J190" s="8"/>
      <c r="K190" s="8"/>
      <c r="U190" s="9" t="str">
        <f>IF($V$22&gt;(D186-1),CONCATENATE(U188,H190,H191,H192,H193,V188),"")</f>
        <v>(command "line" (list 12500 950 ) (list 12500 450 ) (list 18000 450 ) (list 18000 950 ) "")</v>
      </c>
      <c r="AG190" s="45" t="str">
        <f t="shared" si="15"/>
        <v>(command "line" (list 12500 950 ) (list 12500 450 ) (list 18000 450 ) (list 18000 950 ) "")</v>
      </c>
    </row>
    <row r="191" spans="1:33" hidden="1" x14ac:dyDescent="0.25">
      <c r="A191" s="13"/>
      <c r="B191" s="13"/>
      <c r="C191" s="14"/>
      <c r="D191" s="8"/>
      <c r="E191" s="16">
        <f>E187</f>
        <v>12500</v>
      </c>
      <c r="F191" s="16"/>
      <c r="G191" s="16">
        <f>$C$7+$C$10</f>
        <v>450</v>
      </c>
      <c r="H191" s="16" t="str">
        <f t="shared" si="22"/>
        <v xml:space="preserve"> (list 12500 450 )</v>
      </c>
      <c r="I191" s="8" t="s">
        <v>53</v>
      </c>
      <c r="J191" s="8"/>
      <c r="K191" s="8"/>
    </row>
    <row r="192" spans="1:33" hidden="1" x14ac:dyDescent="0.25">
      <c r="A192" s="13"/>
      <c r="B192" s="13"/>
      <c r="C192" s="14"/>
      <c r="D192" s="8"/>
      <c r="E192" s="16">
        <f>E188</f>
        <v>18000</v>
      </c>
      <c r="F192" s="16"/>
      <c r="G192" s="16">
        <f>G191</f>
        <v>450</v>
      </c>
      <c r="H192" s="16" t="str">
        <f t="shared" si="22"/>
        <v xml:space="preserve"> (list 18000 450 )</v>
      </c>
      <c r="I192" s="8" t="s">
        <v>54</v>
      </c>
      <c r="J192" s="8"/>
      <c r="K192" s="8"/>
    </row>
    <row r="193" spans="1:33" hidden="1" x14ac:dyDescent="0.25">
      <c r="A193" s="13"/>
      <c r="B193" s="13"/>
      <c r="C193" s="14"/>
      <c r="D193" s="8"/>
      <c r="E193" s="16">
        <f>E189</f>
        <v>18000</v>
      </c>
      <c r="F193" s="16"/>
      <c r="G193" s="16">
        <f>G190</f>
        <v>950</v>
      </c>
      <c r="H193" s="16" t="str">
        <f t="shared" si="22"/>
        <v xml:space="preserve"> (list 18000 950 )</v>
      </c>
      <c r="I193" s="8" t="s">
        <v>51</v>
      </c>
      <c r="J193" s="8"/>
      <c r="K193" s="8"/>
      <c r="U193" s="1" t="s">
        <v>81</v>
      </c>
      <c r="V193" s="1" t="s">
        <v>15</v>
      </c>
    </row>
    <row r="194" spans="1:33" hidden="1" x14ac:dyDescent="0.25">
      <c r="A194" s="13"/>
      <c r="B194" s="8"/>
      <c r="C194" s="8"/>
      <c r="D194" s="8"/>
      <c r="E194" s="8"/>
      <c r="F194" s="8"/>
      <c r="G194" s="8"/>
      <c r="H194" s="8"/>
      <c r="I194" s="8"/>
      <c r="J194" s="8"/>
      <c r="K194" s="8"/>
      <c r="U194" s="7" t="str">
        <f>CONCATENATE(U193,$M$11,V193)</f>
        <v>(command "color" 3 "")</v>
      </c>
      <c r="AG194" s="45" t="str">
        <f t="shared" si="15"/>
        <v>(command "color" 3 "")</v>
      </c>
    </row>
    <row r="195" spans="1:33" hidden="1" x14ac:dyDescent="0.25">
      <c r="A195" s="22" t="s">
        <v>3</v>
      </c>
      <c r="B195" s="22" t="s">
        <v>9</v>
      </c>
      <c r="C195" s="23" t="s">
        <v>0</v>
      </c>
      <c r="D195" s="8"/>
      <c r="E195" s="17">
        <f>(E191+E192)/2</f>
        <v>15250</v>
      </c>
      <c r="F195" s="17"/>
      <c r="G195" s="17">
        <f>$C$7+$C$10-$C$14</f>
        <v>375</v>
      </c>
      <c r="H195" s="17" t="str">
        <f t="shared" ref="H195:H208" si="23">CONCATENATE(" (list ",E195," ",G195," ",")")</f>
        <v xml:space="preserve"> (list 15250 375 )</v>
      </c>
      <c r="I195" s="18" t="s">
        <v>36</v>
      </c>
      <c r="J195" s="18"/>
      <c r="K195" s="18"/>
      <c r="U195" s="1" t="s">
        <v>84</v>
      </c>
      <c r="V195" s="1" t="s">
        <v>22</v>
      </c>
      <c r="W195" s="5" t="s">
        <v>23</v>
      </c>
      <c r="X195" s="1" t="s">
        <v>7</v>
      </c>
    </row>
    <row r="196" spans="1:33" hidden="1" x14ac:dyDescent="0.25">
      <c r="A196" s="13"/>
      <c r="B196" s="8">
        <f>VLOOKUP(D186-1,$D$7:$H$17,4)</f>
        <v>12000</v>
      </c>
      <c r="C196" s="8"/>
      <c r="D196" s="8"/>
      <c r="E196" s="17">
        <f>E195</f>
        <v>15250</v>
      </c>
      <c r="F196" s="17"/>
      <c r="G196" s="17">
        <f>G195+$M$12</f>
        <v>675</v>
      </c>
      <c r="H196" s="17" t="str">
        <f t="shared" si="23"/>
        <v xml:space="preserve"> (list 15250 675 )</v>
      </c>
      <c r="I196" s="18" t="s">
        <v>37</v>
      </c>
      <c r="J196" s="18"/>
      <c r="K196" s="18"/>
      <c r="U196" s="7" t="str">
        <f>IF($V$22&gt;(D186-1),CONCATENATE(U195,H195,H196,H197,V195,V195,W195,X195),"")</f>
        <v>(command "leader" (list 15250 375 ) (list 15250 675 ) (list 15450 675 ) "" "" "N")</v>
      </c>
      <c r="AG196" s="45" t="str">
        <f t="shared" si="15"/>
        <v>(command "leader" (list 15250 375 ) (list 15250 675 ) (list 15450 675 ) "" "" "N")</v>
      </c>
    </row>
    <row r="197" spans="1:33" hidden="1" x14ac:dyDescent="0.25">
      <c r="A197" s="13"/>
      <c r="B197" s="8">
        <f>B196+A199</f>
        <v>18000</v>
      </c>
      <c r="C197" s="8">
        <f>VLOOKUP(D186,$D$7:$H$17,5)</f>
        <v>500</v>
      </c>
      <c r="D197" s="8"/>
      <c r="E197" s="17">
        <f>E196+$M$13</f>
        <v>15450</v>
      </c>
      <c r="F197" s="17"/>
      <c r="G197" s="17">
        <f>G196</f>
        <v>675</v>
      </c>
      <c r="H197" s="17" t="str">
        <f t="shared" si="23"/>
        <v xml:space="preserve"> (list 15450 675 )</v>
      </c>
      <c r="I197" s="18" t="s">
        <v>38</v>
      </c>
      <c r="J197" s="18"/>
      <c r="K197" s="18"/>
    </row>
    <row r="198" spans="1:33" hidden="1" x14ac:dyDescent="0.25">
      <c r="A198" s="13">
        <f>VLOOKUP(D186-1,$D$7:$E$17,2)</f>
        <v>5000</v>
      </c>
      <c r="B198" s="8"/>
      <c r="C198" s="8">
        <f>VLOOKUP(D186+1,$D$7:$H$17,5)</f>
        <v>500</v>
      </c>
      <c r="D198" s="8"/>
      <c r="E198" s="19">
        <f>E195</f>
        <v>15250</v>
      </c>
      <c r="F198" s="19"/>
      <c r="G198" s="19">
        <f>$C$7+$C$14</f>
        <v>75</v>
      </c>
      <c r="H198" s="19" t="str">
        <f t="shared" si="23"/>
        <v xml:space="preserve"> (list 15250 75 )</v>
      </c>
      <c r="I198" s="19" t="s">
        <v>39</v>
      </c>
      <c r="J198" s="19"/>
      <c r="K198" s="19"/>
      <c r="U198" s="1" t="s">
        <v>84</v>
      </c>
      <c r="V198" s="1" t="s">
        <v>22</v>
      </c>
      <c r="W198" s="5" t="s">
        <v>23</v>
      </c>
      <c r="X198" s="1" t="s">
        <v>7</v>
      </c>
    </row>
    <row r="199" spans="1:33" hidden="1" x14ac:dyDescent="0.25">
      <c r="A199" s="13">
        <f>VLOOKUP(D186,$D$7:$H$17,2)</f>
        <v>6000</v>
      </c>
      <c r="B199" s="8"/>
      <c r="C199" s="8"/>
      <c r="D199" s="8"/>
      <c r="E199" s="19">
        <f>E198</f>
        <v>15250</v>
      </c>
      <c r="F199" s="19"/>
      <c r="G199" s="19">
        <f>G198-$M$12</f>
        <v>-225</v>
      </c>
      <c r="H199" s="19" t="str">
        <f t="shared" si="23"/>
        <v xml:space="preserve"> (list 15250 -225 )</v>
      </c>
      <c r="I199" s="19" t="s">
        <v>40</v>
      </c>
      <c r="J199" s="19"/>
      <c r="K199" s="19"/>
      <c r="U199" s="7" t="str">
        <f>IF($V$22&gt;(D186-1),CONCATENATE(U198,H198,H199,H200,V198,V198,W198,X198),"")</f>
        <v>(command "leader" (list 15250 75 ) (list 15250 -225 ) (list 15450 -225 ) "" "" "N")</v>
      </c>
      <c r="AG199" s="45" t="str">
        <f t="shared" si="15"/>
        <v>(command "leader" (list 15250 75 ) (list 15250 -225 ) (list 15450 -225 ) "" "" "N")</v>
      </c>
    </row>
    <row r="200" spans="1:33" hidden="1" x14ac:dyDescent="0.25">
      <c r="A200" s="13"/>
      <c r="B200" s="8"/>
      <c r="C200" s="8"/>
      <c r="D200" s="8"/>
      <c r="E200" s="19">
        <f>E199+$M$13</f>
        <v>15450</v>
      </c>
      <c r="F200" s="19"/>
      <c r="G200" s="19">
        <f>G199</f>
        <v>-225</v>
      </c>
      <c r="H200" s="19" t="str">
        <f t="shared" si="23"/>
        <v xml:space="preserve"> (list 15450 -225 )</v>
      </c>
      <c r="I200" s="19" t="s">
        <v>41</v>
      </c>
      <c r="J200" s="19"/>
      <c r="K200" s="19"/>
      <c r="U200" s="1" t="s">
        <v>82</v>
      </c>
      <c r="X200" s="1" t="s">
        <v>7</v>
      </c>
    </row>
    <row r="201" spans="1:33" hidden="1" x14ac:dyDescent="0.25">
      <c r="A201" s="13"/>
      <c r="B201" s="8"/>
      <c r="C201" s="8"/>
      <c r="D201" s="8"/>
      <c r="E201" s="20">
        <f>$B$7+$H$7/2+B196+C197/2</f>
        <v>12500</v>
      </c>
      <c r="F201" s="20"/>
      <c r="G201" s="20">
        <f>$C$7-$C$12</f>
        <v>-500</v>
      </c>
      <c r="H201" s="20" t="str">
        <f t="shared" si="23"/>
        <v xml:space="preserve"> (list 12500 -500 )</v>
      </c>
      <c r="I201" s="20" t="s">
        <v>33</v>
      </c>
      <c r="J201" s="20"/>
      <c r="K201" s="20"/>
      <c r="U201" s="9" t="str">
        <f>IF($V$22&gt;(D186-1),CONCATENATE(U200,H201,H202,H203,X200),"")</f>
        <v>(command "dimlinear" (list 12500 -500 ) (list 18000 -500 ) (list 18000 -500 ))</v>
      </c>
      <c r="AG201" s="45" t="str">
        <f t="shared" si="15"/>
        <v>(command "dimlinear" (list 12500 -500 ) (list 18000 -500 ) (list 18000 -500 ))</v>
      </c>
    </row>
    <row r="202" spans="1:33" hidden="1" x14ac:dyDescent="0.25">
      <c r="A202" s="13"/>
      <c r="B202" s="8"/>
      <c r="C202" s="8"/>
      <c r="D202" s="8"/>
      <c r="E202" s="20">
        <f>$B$7+$H$7/2+B197-C198/2</f>
        <v>18000</v>
      </c>
      <c r="F202" s="20"/>
      <c r="G202" s="20">
        <f>$C$7-$C$12</f>
        <v>-500</v>
      </c>
      <c r="H202" s="20" t="str">
        <f t="shared" si="23"/>
        <v xml:space="preserve"> (list 18000 -500 )</v>
      </c>
      <c r="I202" s="20" t="s">
        <v>34</v>
      </c>
      <c r="J202" s="20"/>
      <c r="K202" s="20"/>
      <c r="U202" s="1" t="s">
        <v>86</v>
      </c>
      <c r="V202" s="1" t="s">
        <v>27</v>
      </c>
      <c r="W202" s="1" t="str">
        <f>A203</f>
        <v xml:space="preserve"> "2L-8# @ 150 C/C" </v>
      </c>
      <c r="X202" s="1" t="s">
        <v>28</v>
      </c>
      <c r="AA202" s="1" t="s">
        <v>30</v>
      </c>
      <c r="AB202" s="1" t="s">
        <v>31</v>
      </c>
    </row>
    <row r="203" spans="1:33" hidden="1" x14ac:dyDescent="0.25">
      <c r="A203" s="66" t="s">
        <v>29</v>
      </c>
      <c r="B203" s="8"/>
      <c r="C203" s="8"/>
      <c r="D203" s="8"/>
      <c r="E203" s="20">
        <f>E202</f>
        <v>18000</v>
      </c>
      <c r="F203" s="20"/>
      <c r="G203" s="20">
        <f>G202</f>
        <v>-500</v>
      </c>
      <c r="H203" s="20" t="str">
        <f t="shared" si="23"/>
        <v xml:space="preserve"> (list 18000 -500 )</v>
      </c>
      <c r="I203" s="20" t="s">
        <v>35</v>
      </c>
      <c r="J203" s="20"/>
      <c r="K203" s="20"/>
      <c r="U203" s="9" t="str">
        <f>IF($V$22&gt;(D186-1),CONCATENATE(U202,AA202,AB202,H204," ",V202,$M$15,V202,X202,W202,X200),"")</f>
        <v>(command "text" "j" "MC" (list 15250 -425 ) "100" "0" "2L-8# @ 150 C/C" )</v>
      </c>
      <c r="AG203" s="45" t="str">
        <f t="shared" si="15"/>
        <v>(command "text" "j" "MC" (list 15250 -425 ) "100" "0" "2L-8# @ 150 C/C" )</v>
      </c>
    </row>
    <row r="204" spans="1:33" hidden="1" x14ac:dyDescent="0.25">
      <c r="A204" s="13"/>
      <c r="B204" s="8"/>
      <c r="C204" s="8"/>
      <c r="D204" s="8"/>
      <c r="E204" s="20">
        <f>(E201+E202)/2</f>
        <v>15250</v>
      </c>
      <c r="F204" s="20"/>
      <c r="G204" s="20">
        <f>G203+$C$14</f>
        <v>-425</v>
      </c>
      <c r="H204" s="20" t="str">
        <f t="shared" si="23"/>
        <v xml:space="preserve"> (list 15250 -425 )</v>
      </c>
      <c r="I204" s="20" t="s">
        <v>117</v>
      </c>
      <c r="J204" s="20"/>
      <c r="K204" s="20"/>
    </row>
    <row r="205" spans="1:33" hidden="1" x14ac:dyDescent="0.25">
      <c r="A205" s="13"/>
      <c r="B205" s="8"/>
      <c r="C205" s="8"/>
      <c r="D205" s="8"/>
      <c r="E205" s="17">
        <f>E201+$C$15</f>
        <v>13000</v>
      </c>
      <c r="F205" s="17"/>
      <c r="G205" s="17">
        <f>G195+$C$14/2</f>
        <v>412.5</v>
      </c>
      <c r="H205" s="17" t="str">
        <f t="shared" si="23"/>
        <v xml:space="preserve"> (list 13000 412.5 )</v>
      </c>
      <c r="I205" s="17" t="s">
        <v>42</v>
      </c>
      <c r="J205" s="17"/>
      <c r="K205" s="17"/>
      <c r="U205" s="1" t="s">
        <v>79</v>
      </c>
      <c r="V205" s="1" t="s">
        <v>15</v>
      </c>
    </row>
    <row r="206" spans="1:33" hidden="1" x14ac:dyDescent="0.25">
      <c r="A206" s="13"/>
      <c r="B206" s="8"/>
      <c r="C206" s="8"/>
      <c r="D206" s="8"/>
      <c r="E206" s="17">
        <f>E201+$C$15</f>
        <v>13000</v>
      </c>
      <c r="F206" s="17"/>
      <c r="G206" s="17">
        <f>G198-$C$14/2</f>
        <v>37.5</v>
      </c>
      <c r="H206" s="17" t="str">
        <f t="shared" si="23"/>
        <v xml:space="preserve"> (list 13000 37.5 )</v>
      </c>
      <c r="I206" s="17" t="s">
        <v>43</v>
      </c>
      <c r="J206" s="17"/>
      <c r="K206" s="17"/>
      <c r="U206" s="10" t="str">
        <f>IF($V$22&gt;(D186-1),CONCATENATE($U$159,H205,H206,V205),"")</f>
        <v>(command "line" (list 13000 412.5 ) (list 13000 37.5 ) "")</v>
      </c>
      <c r="AG206" s="45" t="str">
        <f t="shared" si="15"/>
        <v>(command "line" (list 13000 412.5 ) (list 13000 37.5 ) "")</v>
      </c>
    </row>
    <row r="207" spans="1:33" hidden="1" x14ac:dyDescent="0.25">
      <c r="A207" s="13"/>
      <c r="B207" s="8"/>
      <c r="C207" s="8"/>
      <c r="D207" s="8"/>
      <c r="E207" s="17">
        <f>E205+200</f>
        <v>13200</v>
      </c>
      <c r="F207" s="17"/>
      <c r="G207" s="17">
        <f>G205</f>
        <v>412.5</v>
      </c>
      <c r="H207" s="17" t="str">
        <f t="shared" si="23"/>
        <v xml:space="preserve"> (list 13200 412.5 )</v>
      </c>
      <c r="I207" s="17" t="s">
        <v>44</v>
      </c>
      <c r="J207" s="17"/>
      <c r="K207" s="17"/>
      <c r="U207" s="10" t="str">
        <f>IF($V$22&gt;(D186-1),CONCATENATE($U$159,H207,H208,V205),"")</f>
        <v>(command "line" (list 13200 412.5 ) (list 13200 37.5 ) "")</v>
      </c>
      <c r="AG207" s="45" t="str">
        <f t="shared" si="15"/>
        <v>(command "line" (list 13200 412.5 ) (list 13200 37.5 ) "")</v>
      </c>
    </row>
    <row r="208" spans="1:33" hidden="1" x14ac:dyDescent="0.25">
      <c r="A208" s="13"/>
      <c r="B208" s="8"/>
      <c r="C208" s="8"/>
      <c r="D208" s="8"/>
      <c r="E208" s="17">
        <f>E206+200</f>
        <v>13200</v>
      </c>
      <c r="F208" s="17"/>
      <c r="G208" s="17">
        <f>G206</f>
        <v>37.5</v>
      </c>
      <c r="H208" s="17" t="str">
        <f t="shared" si="23"/>
        <v xml:space="preserve"> (list 13200 37.5 )</v>
      </c>
      <c r="I208" s="17" t="s">
        <v>45</v>
      </c>
      <c r="J208" s="17"/>
      <c r="K208" s="17"/>
    </row>
    <row r="209" spans="1:33" hidden="1" x14ac:dyDescent="0.25">
      <c r="A209" s="13"/>
      <c r="B209" s="8"/>
      <c r="C209" s="8"/>
      <c r="D209" s="8"/>
      <c r="E209" s="21" t="s">
        <v>21</v>
      </c>
      <c r="F209" s="21"/>
      <c r="G209" s="8"/>
      <c r="H209" s="8"/>
      <c r="I209" s="8"/>
      <c r="J209" s="8"/>
      <c r="K209" s="8"/>
      <c r="U209" s="1" t="s">
        <v>86</v>
      </c>
      <c r="V209" s="1" t="s">
        <v>27</v>
      </c>
      <c r="W209" s="1" t="s">
        <v>63</v>
      </c>
      <c r="X209" s="1" t="s">
        <v>28</v>
      </c>
      <c r="AA209" s="1" t="s">
        <v>30</v>
      </c>
      <c r="AB209" s="1" t="s">
        <v>32</v>
      </c>
    </row>
    <row r="210" spans="1:33" hidden="1" x14ac:dyDescent="0.25">
      <c r="A210" s="8" t="s">
        <v>62</v>
      </c>
      <c r="B210" s="8" t="s">
        <v>115</v>
      </c>
      <c r="C210" s="8"/>
      <c r="D210" s="8"/>
      <c r="E210" s="8">
        <f>E197+50</f>
        <v>15500</v>
      </c>
      <c r="F210" s="8"/>
      <c r="G210" s="8">
        <f>G197</f>
        <v>675</v>
      </c>
      <c r="H210" s="17" t="str">
        <f t="shared" ref="H210:H211" si="24">CONCATENATE(" (list ",E210," ",G210," ",")")</f>
        <v xml:space="preserve"> (list 15500 675 )</v>
      </c>
      <c r="I210" s="8" t="s">
        <v>113</v>
      </c>
      <c r="J210" s="8"/>
      <c r="K210" s="8"/>
      <c r="U210" s="6" t="str">
        <f>IF($V$22&gt;(D186-1),CONCATENATE(U209,AA209,AB209,H210," ",V209,$M$15,V209,X209,A210,X210),"")</f>
        <v>(command "text" "j" "ML" (list 15500 675 ) "100" "0" "2-16" )</v>
      </c>
      <c r="V210" s="1" t="s">
        <v>22</v>
      </c>
      <c r="W210" s="5" t="s">
        <v>23</v>
      </c>
      <c r="X210" s="1" t="s">
        <v>7</v>
      </c>
      <c r="AG210" s="45" t="str">
        <f t="shared" si="15"/>
        <v>(command "text" "j" "ML" (list 15500 675 ) "100" "0" "2-16" )</v>
      </c>
    </row>
    <row r="211" spans="1:33" hidden="1" x14ac:dyDescent="0.25">
      <c r="A211" s="8" t="s">
        <v>62</v>
      </c>
      <c r="B211" s="8" t="s">
        <v>116</v>
      </c>
      <c r="C211" s="8"/>
      <c r="D211" s="8"/>
      <c r="E211" s="8">
        <f>E200+50</f>
        <v>15500</v>
      </c>
      <c r="F211" s="8"/>
      <c r="G211" s="8">
        <f>G200</f>
        <v>-225</v>
      </c>
      <c r="H211" s="17" t="str">
        <f t="shared" si="24"/>
        <v xml:space="preserve"> (list 15500 -225 )</v>
      </c>
      <c r="I211" s="8" t="s">
        <v>114</v>
      </c>
      <c r="J211" s="8"/>
      <c r="K211" s="8"/>
      <c r="U211" s="6" t="str">
        <f>IF($V$22&gt;(D186-1),CONCATENATE(U209,AA209,AB209,H211," ",V209,$M$15,V209,X209,A211,X210),"")</f>
        <v>(command "text" "j" "ML" (list 15500 -225 ) "100" "0" "2-16" )</v>
      </c>
      <c r="AD211" s="43"/>
      <c r="AG211" s="45" t="str">
        <f t="shared" si="15"/>
        <v>(command "text" "j" "ML" (list 15500 -225 ) "100" "0" "2-16" )</v>
      </c>
    </row>
    <row r="212" spans="1:33" hidden="1" x14ac:dyDescent="0.25">
      <c r="A212" s="6"/>
      <c r="B212" s="6"/>
      <c r="C212" s="6"/>
      <c r="D212" s="6"/>
      <c r="E212" s="6"/>
      <c r="F212" s="6"/>
      <c r="G212" s="6"/>
      <c r="H212" s="102"/>
      <c r="I212" s="6"/>
      <c r="J212" s="6"/>
      <c r="K212" s="6"/>
      <c r="U212" s="6"/>
      <c r="AD212" s="43"/>
    </row>
    <row r="213" spans="1:33" ht="15" hidden="1" customHeight="1" x14ac:dyDescent="0.25">
      <c r="A213" s="91" t="s">
        <v>118</v>
      </c>
      <c r="B213" s="91">
        <f>$E$9</f>
        <v>6000</v>
      </c>
      <c r="C213" s="8"/>
      <c r="D213" s="127" t="s">
        <v>131</v>
      </c>
      <c r="E213" s="8"/>
      <c r="F213" s="8"/>
      <c r="G213" s="8"/>
      <c r="H213" s="8"/>
      <c r="I213" s="8"/>
      <c r="J213" s="8"/>
      <c r="K213" s="8"/>
      <c r="U213" s="1" t="s">
        <v>81</v>
      </c>
      <c r="V213" s="1" t="s">
        <v>15</v>
      </c>
      <c r="AG213" s="90"/>
    </row>
    <row r="214" spans="1:33" ht="15" hidden="1" customHeight="1" x14ac:dyDescent="0.25">
      <c r="A214" s="91" t="s">
        <v>95</v>
      </c>
      <c r="B214" s="91">
        <f>B213/10</f>
        <v>600</v>
      </c>
      <c r="C214" s="8"/>
      <c r="D214" s="127"/>
      <c r="E214" s="92">
        <f>$B$7+$H$7/2+$G$8+$H$9/2+B214</f>
        <v>13100</v>
      </c>
      <c r="F214" s="92"/>
      <c r="G214" s="92">
        <f>$G$78</f>
        <v>150</v>
      </c>
      <c r="H214" s="92" t="str">
        <f t="shared" ref="H214:H217" si="25">CONCATENATE(" (list ",E214," ",G214," ",")")</f>
        <v xml:space="preserve"> (list 13100 150 )</v>
      </c>
      <c r="I214" s="92" t="s">
        <v>97</v>
      </c>
      <c r="J214" s="8"/>
      <c r="K214" s="8"/>
      <c r="U214" s="7" t="str">
        <f>CONCATENATE(U213,$M$10,V213)</f>
        <v>(command "color" 2 "")</v>
      </c>
      <c r="AG214" s="90" t="str">
        <f t="shared" ref="AG214" si="26">U214</f>
        <v>(command "color" 2 "")</v>
      </c>
    </row>
    <row r="215" spans="1:33" hidden="1" x14ac:dyDescent="0.25">
      <c r="A215" s="91" t="s">
        <v>96</v>
      </c>
      <c r="B215" s="91">
        <f>FLOOR(B213/3,1)</f>
        <v>2000</v>
      </c>
      <c r="C215" s="8"/>
      <c r="D215" s="127"/>
      <c r="E215" s="92">
        <f>$B$7+$H$7/2+$G$9-$H$10/2-B214</f>
        <v>17650</v>
      </c>
      <c r="F215" s="92"/>
      <c r="G215" s="92">
        <f>G214</f>
        <v>150</v>
      </c>
      <c r="H215" s="92" t="str">
        <f t="shared" si="25"/>
        <v xml:space="preserve"> (list 17650 150 )</v>
      </c>
      <c r="I215" s="92" t="s">
        <v>98</v>
      </c>
      <c r="J215" s="8"/>
      <c r="K215" s="8"/>
      <c r="U215" s="1" t="s">
        <v>79</v>
      </c>
      <c r="V215" s="1" t="s">
        <v>15</v>
      </c>
      <c r="AG215" s="90"/>
    </row>
    <row r="216" spans="1:33" hidden="1" x14ac:dyDescent="0.25">
      <c r="A216" s="91" t="s">
        <v>103</v>
      </c>
      <c r="B216" s="91">
        <f>E215-E214</f>
        <v>4550</v>
      </c>
      <c r="C216" s="8"/>
      <c r="D216" s="127"/>
      <c r="E216" s="20">
        <f>$B$7+$H$7/2+$G$8</f>
        <v>12250</v>
      </c>
      <c r="F216" s="20"/>
      <c r="G216" s="20">
        <f>$G$82</f>
        <v>300</v>
      </c>
      <c r="H216" s="20" t="str">
        <f t="shared" si="25"/>
        <v xml:space="preserve"> (list 12250 300 )</v>
      </c>
      <c r="I216" s="20" t="s">
        <v>100</v>
      </c>
      <c r="J216" s="8" t="s">
        <v>129</v>
      </c>
      <c r="K216" s="8"/>
      <c r="U216" s="62" t="str">
        <f>IF($V$22&gt;(D186-1),IF($I$8="Y",CONCATENATE($U$79,H214,H215,$V$79),""),"")</f>
        <v>(command "line" (list 13100 150 ) (list 17650 150 ) "")</v>
      </c>
      <c r="AG216" s="90" t="str">
        <f t="shared" ref="AG216:AG218" si="27">U216</f>
        <v>(command "line" (list 13100 150 ) (list 17650 150 ) "")</v>
      </c>
    </row>
    <row r="217" spans="1:33" hidden="1" x14ac:dyDescent="0.25">
      <c r="A217" s="91"/>
      <c r="B217" s="91"/>
      <c r="C217" s="8"/>
      <c r="D217" s="127"/>
      <c r="E217" s="20">
        <f>E216+B215</f>
        <v>14250</v>
      </c>
      <c r="F217" s="20"/>
      <c r="G217" s="20">
        <f>G216</f>
        <v>300</v>
      </c>
      <c r="H217" s="20" t="str">
        <f t="shared" si="25"/>
        <v xml:space="preserve"> (list 14250 300 )</v>
      </c>
      <c r="I217" s="20" t="s">
        <v>99</v>
      </c>
      <c r="J217" s="8"/>
      <c r="K217" s="8"/>
      <c r="U217" s="62" t="str">
        <f>IF($V$22&gt;(D186-1),IF($F$9="Y",CONCATENATE($U$79,H216,H217,$V$79),""),"")</f>
        <v>(command "line" (list 12250 300 ) (list 14250 300 ) "")</v>
      </c>
      <c r="AG217" s="90" t="str">
        <f t="shared" si="27"/>
        <v>(command "line" (list 12250 300 ) (list 14250 300 ) "")</v>
      </c>
    </row>
    <row r="218" spans="1:33" hidden="1" x14ac:dyDescent="0.25">
      <c r="A218" s="91"/>
      <c r="B218" s="91"/>
      <c r="C218" s="8"/>
      <c r="D218" s="127"/>
      <c r="E218" s="92">
        <f>E216+B213</f>
        <v>18250</v>
      </c>
      <c r="F218" s="92"/>
      <c r="G218" s="92">
        <f>G217</f>
        <v>300</v>
      </c>
      <c r="H218" s="92" t="str">
        <f>CONCATENATE(" (list ",E218," ",G218," ",")")</f>
        <v xml:space="preserve"> (list 18250 300 )</v>
      </c>
      <c r="I218" s="92" t="s">
        <v>132</v>
      </c>
      <c r="J218" s="8" t="s">
        <v>130</v>
      </c>
      <c r="K218" s="8"/>
      <c r="U218" s="62" t="str">
        <f>IF($V$22&gt;(D186-1),IF($F$10="Y",CONCATENATE($U$79,H218,H219,$V$79),""),"")</f>
        <v/>
      </c>
      <c r="AG218" s="90" t="str">
        <f t="shared" si="27"/>
        <v/>
      </c>
    </row>
    <row r="219" spans="1:33" hidden="1" x14ac:dyDescent="0.25">
      <c r="A219" s="91"/>
      <c r="B219" s="91"/>
      <c r="C219" s="8"/>
      <c r="D219" s="127"/>
      <c r="E219" s="92">
        <f>E218-B215</f>
        <v>16250</v>
      </c>
      <c r="F219" s="92"/>
      <c r="G219" s="92">
        <f>G217</f>
        <v>300</v>
      </c>
      <c r="H219" s="92" t="str">
        <f>CONCATENATE(" (list ",E219," ",G219," ",")")</f>
        <v xml:space="preserve"> (list 16250 300 )</v>
      </c>
      <c r="I219" s="92" t="s">
        <v>133</v>
      </c>
      <c r="J219" s="8"/>
      <c r="K219" s="8"/>
      <c r="U219" s="1" t="s">
        <v>81</v>
      </c>
      <c r="V219" s="1" t="s">
        <v>15</v>
      </c>
      <c r="AG219" s="90"/>
    </row>
    <row r="220" spans="1:33" hidden="1" x14ac:dyDescent="0.25">
      <c r="A220" s="100" t="s">
        <v>107</v>
      </c>
      <c r="B220" s="100"/>
      <c r="C220" s="17"/>
      <c r="D220" s="127"/>
      <c r="E220" s="93">
        <f>FLOOR(B216*2/3,1)+E214</f>
        <v>16133</v>
      </c>
      <c r="F220" s="93"/>
      <c r="G220" s="93">
        <f>G215</f>
        <v>150</v>
      </c>
      <c r="H220" s="93" t="str">
        <f t="shared" ref="H220:H227" si="28">CONCATENATE(" (list ",E220," ",G220," ",")")</f>
        <v xml:space="preserve"> (list 16133 150 )</v>
      </c>
      <c r="I220" s="93" t="s">
        <v>104</v>
      </c>
      <c r="J220" s="94"/>
      <c r="K220" s="95"/>
      <c r="U220" s="62" t="str">
        <f>CONCATENATE(U219,$M$11,V219)</f>
        <v>(command "color" 3 "")</v>
      </c>
      <c r="AG220" s="90" t="str">
        <f t="shared" ref="AG220" si="29">U220</f>
        <v>(command "color" 3 "")</v>
      </c>
    </row>
    <row r="221" spans="1:33" hidden="1" x14ac:dyDescent="0.25">
      <c r="A221" s="100" t="s">
        <v>108</v>
      </c>
      <c r="B221" s="100">
        <v>150</v>
      </c>
      <c r="C221" s="17"/>
      <c r="D221" s="127"/>
      <c r="E221" s="93">
        <f>E220+B221</f>
        <v>16283</v>
      </c>
      <c r="F221" s="93"/>
      <c r="G221" s="93">
        <f>G220+B222</f>
        <v>300</v>
      </c>
      <c r="H221" s="93" t="str">
        <f t="shared" si="28"/>
        <v xml:space="preserve"> (list 16283 300 )</v>
      </c>
      <c r="I221" s="93" t="s">
        <v>105</v>
      </c>
      <c r="J221" s="94"/>
      <c r="K221" s="95"/>
      <c r="U221" s="1" t="s">
        <v>84</v>
      </c>
      <c r="V221" s="1" t="s">
        <v>22</v>
      </c>
      <c r="W221" s="5" t="s">
        <v>23</v>
      </c>
      <c r="X221" s="1" t="s">
        <v>7</v>
      </c>
      <c r="AG221" s="90"/>
    </row>
    <row r="222" spans="1:33" hidden="1" x14ac:dyDescent="0.25">
      <c r="A222" s="100" t="s">
        <v>109</v>
      </c>
      <c r="B222" s="100">
        <v>150</v>
      </c>
      <c r="C222" s="17"/>
      <c r="D222" s="127"/>
      <c r="E222" s="93">
        <f>E221</f>
        <v>16283</v>
      </c>
      <c r="F222" s="93"/>
      <c r="G222" s="93">
        <f>G200</f>
        <v>-225</v>
      </c>
      <c r="H222" s="93" t="str">
        <f t="shared" si="28"/>
        <v xml:space="preserve"> (list 16283 -225 )</v>
      </c>
      <c r="I222" s="93" t="s">
        <v>106</v>
      </c>
      <c r="J222" s="94"/>
      <c r="K222" s="95"/>
      <c r="U222" s="62" t="str">
        <f>IF($V$22&gt;(D186-1),IF($F$8="Y",(CONCATENATE(U221,H220,H221,H222,H223,V221,V221,W221,X221)),""),"")</f>
        <v>(command "leader" (list 16133 150 ) (list 16283 300 ) (list 16283 -225 ) (list 16483 -225 ) "" "" "N")</v>
      </c>
      <c r="AG222" s="90" t="str">
        <f>U222</f>
        <v>(command "leader" (list 16133 150 ) (list 16283 300 ) (list 16283 -225 ) (list 16483 -225 ) "" "" "N")</v>
      </c>
    </row>
    <row r="223" spans="1:33" hidden="1" x14ac:dyDescent="0.25">
      <c r="A223" s="100"/>
      <c r="B223" s="100"/>
      <c r="C223" s="17"/>
      <c r="D223" s="127"/>
      <c r="E223" s="93">
        <f>E222+$M$13</f>
        <v>16483</v>
      </c>
      <c r="F223" s="93"/>
      <c r="G223" s="93">
        <f>G222</f>
        <v>-225</v>
      </c>
      <c r="H223" s="93" t="str">
        <f t="shared" si="28"/>
        <v xml:space="preserve"> (list 16483 -225 )</v>
      </c>
      <c r="I223" s="93" t="s">
        <v>110</v>
      </c>
      <c r="J223" s="94"/>
      <c r="K223" s="95"/>
      <c r="U223" s="1" t="s">
        <v>81</v>
      </c>
      <c r="V223" s="1" t="s">
        <v>15</v>
      </c>
      <c r="AG223" s="90"/>
    </row>
    <row r="224" spans="1:33" hidden="1" x14ac:dyDescent="0.25">
      <c r="A224" s="100"/>
      <c r="B224" s="100"/>
      <c r="C224" s="17"/>
      <c r="D224" s="127"/>
      <c r="E224" s="94">
        <f>E217-3*B221</f>
        <v>13800</v>
      </c>
      <c r="F224" s="94"/>
      <c r="G224" s="94">
        <f>G219</f>
        <v>300</v>
      </c>
      <c r="H224" s="94" t="str">
        <f t="shared" si="28"/>
        <v xml:space="preserve"> (list 13800 300 )</v>
      </c>
      <c r="I224" s="94" t="s">
        <v>122</v>
      </c>
      <c r="J224" s="96"/>
      <c r="K224" s="95"/>
      <c r="U224" s="62" t="str">
        <f>CONCATENATE(U223,$M$11,V223)</f>
        <v>(command "color" 3 "")</v>
      </c>
      <c r="AG224" s="90" t="str">
        <f>U224</f>
        <v>(command "color" 3 "")</v>
      </c>
    </row>
    <row r="225" spans="1:33" hidden="1" x14ac:dyDescent="0.25">
      <c r="A225" s="100"/>
      <c r="B225" s="100"/>
      <c r="C225" s="17"/>
      <c r="D225" s="127"/>
      <c r="E225" s="94">
        <f>E224+B221</f>
        <v>13950</v>
      </c>
      <c r="F225" s="94"/>
      <c r="G225" s="94">
        <f>G224-B222</f>
        <v>150</v>
      </c>
      <c r="H225" s="94" t="str">
        <f t="shared" si="28"/>
        <v xml:space="preserve"> (list 13950 150 )</v>
      </c>
      <c r="I225" s="94" t="s">
        <v>123</v>
      </c>
      <c r="J225" s="96"/>
      <c r="K225" s="95"/>
      <c r="U225" s="1" t="s">
        <v>84</v>
      </c>
      <c r="V225" s="1" t="s">
        <v>22</v>
      </c>
      <c r="W225" s="5" t="s">
        <v>23</v>
      </c>
      <c r="X225" s="1" t="s">
        <v>7</v>
      </c>
      <c r="AG225" s="90"/>
    </row>
    <row r="226" spans="1:33" hidden="1" x14ac:dyDescent="0.25">
      <c r="A226" s="100"/>
      <c r="B226" s="100"/>
      <c r="C226" s="17"/>
      <c r="D226" s="127"/>
      <c r="E226" s="94">
        <f>E225</f>
        <v>13950</v>
      </c>
      <c r="F226" s="94"/>
      <c r="G226" s="94">
        <f>G197</f>
        <v>675</v>
      </c>
      <c r="H226" s="94" t="str">
        <f t="shared" si="28"/>
        <v xml:space="preserve"> (list 13950 675 )</v>
      </c>
      <c r="I226" s="94" t="s">
        <v>124</v>
      </c>
      <c r="J226" s="96"/>
      <c r="K226" s="95"/>
      <c r="U226" s="62" t="str">
        <f>IF($V$22&gt;(D186-1),IF($I$8="Y",(CONCATENATE(U225,H224,H225,H226,H227,V225,V225,W225,X225)),""),"")</f>
        <v>(command "leader" (list 13800 300 ) (list 13950 150 ) (list 13950 675 ) (list 14150 675 ) "" "" "N")</v>
      </c>
      <c r="AG226" s="90" t="str">
        <f>U226</f>
        <v>(command "leader" (list 13800 300 ) (list 13950 150 ) (list 13950 675 ) (list 14150 675 ) "" "" "N")</v>
      </c>
    </row>
    <row r="227" spans="1:33" hidden="1" x14ac:dyDescent="0.25">
      <c r="A227" s="100"/>
      <c r="B227" s="100"/>
      <c r="C227" s="17"/>
      <c r="D227" s="127"/>
      <c r="E227" s="94">
        <f>E226+$M$13</f>
        <v>14150</v>
      </c>
      <c r="F227" s="94"/>
      <c r="G227" s="94">
        <f>G226</f>
        <v>675</v>
      </c>
      <c r="H227" s="94" t="str">
        <f t="shared" si="28"/>
        <v xml:space="preserve"> (list 14150 675 )</v>
      </c>
      <c r="I227" s="94" t="s">
        <v>125</v>
      </c>
      <c r="J227" s="96"/>
      <c r="K227" s="95"/>
      <c r="U227" s="1" t="s">
        <v>86</v>
      </c>
      <c r="V227" s="1" t="s">
        <v>27</v>
      </c>
      <c r="X227" s="1" t="s">
        <v>28</v>
      </c>
      <c r="Y227" s="1" t="s">
        <v>19</v>
      </c>
      <c r="AG227" s="90"/>
    </row>
    <row r="228" spans="1:33" hidden="1" x14ac:dyDescent="0.25">
      <c r="A228" s="100" t="s">
        <v>62</v>
      </c>
      <c r="B228" s="100" t="s">
        <v>127</v>
      </c>
      <c r="C228" s="17"/>
      <c r="D228" s="127"/>
      <c r="E228" s="93">
        <f>E223+25</f>
        <v>16508</v>
      </c>
      <c r="F228" s="93"/>
      <c r="G228" s="93">
        <f>G223-$M$15/2</f>
        <v>-275</v>
      </c>
      <c r="H228" s="93" t="str">
        <f>CONCATENATE(" (list ",E228," ",G228," ",")")</f>
        <v xml:space="preserve"> (list 16508 -275 )</v>
      </c>
      <c r="I228" s="93" t="s">
        <v>119</v>
      </c>
      <c r="J228" s="94"/>
      <c r="K228" s="95"/>
      <c r="U228" s="62" t="str">
        <f>IF($V$22&gt;(D186-1),IF($F$8="Y",CONCATENATE($U$90,H228," ",$V$90,M159,$V$90,$X$90,A228,$Y$90),""),"")</f>
        <v>(command "text" (list 16508 -275 ) "" "0" "2-16" "")</v>
      </c>
      <c r="AG228" s="90" t="str">
        <f>U228</f>
        <v>(command "text" (list 16508 -275 ) "" "0" "2-16" "")</v>
      </c>
    </row>
    <row r="229" spans="1:33" hidden="1" x14ac:dyDescent="0.25">
      <c r="A229" s="100" t="s">
        <v>62</v>
      </c>
      <c r="B229" s="100" t="s">
        <v>126</v>
      </c>
      <c r="C229" s="17"/>
      <c r="D229" s="127"/>
      <c r="E229" s="97">
        <f>E227+25</f>
        <v>14175</v>
      </c>
      <c r="F229" s="97"/>
      <c r="G229" s="97">
        <f>G227-$M$15/2</f>
        <v>625</v>
      </c>
      <c r="H229" s="97" t="str">
        <f>CONCATENATE(" (list ",E229," ",G229," ",")")</f>
        <v xml:space="preserve"> (list 14175 625 )</v>
      </c>
      <c r="I229" s="97" t="s">
        <v>120</v>
      </c>
      <c r="J229" s="98"/>
      <c r="K229" s="99"/>
      <c r="U229" s="62" t="str">
        <f>IF($V$22&gt;(D186-1),IF($I$8="Y",CONCATENATE(U227,H229," ",V227,M159,V227,X227,A229,Y227),""),"")</f>
        <v>(command "text" (list 14175 625 ) "" "0" "2-16" "")</v>
      </c>
      <c r="AG229" s="90" t="str">
        <f>U229</f>
        <v>(command "text" (list 14175 625 ) "" "0" "2-16" "")</v>
      </c>
    </row>
    <row r="230" spans="1:33" hidden="1" x14ac:dyDescent="0.25">
      <c r="A230" s="8"/>
      <c r="B230" s="8"/>
      <c r="C230" s="8"/>
      <c r="D230" s="8"/>
      <c r="E230" s="8"/>
      <c r="F230" s="8"/>
      <c r="G230" s="8"/>
      <c r="H230" s="17"/>
      <c r="I230" s="8"/>
      <c r="J230" s="8"/>
      <c r="K230" s="8"/>
      <c r="U230" s="35"/>
      <c r="AD230" s="43"/>
    </row>
    <row r="231" spans="1:33" hidden="1" x14ac:dyDescent="0.25"/>
    <row r="232" spans="1:33" ht="21" hidden="1" x14ac:dyDescent="0.35">
      <c r="A232" s="13"/>
      <c r="B232" s="13"/>
      <c r="C232" s="14"/>
      <c r="D232" s="103">
        <f>D186+1</f>
        <v>4</v>
      </c>
      <c r="E232" s="15">
        <f>$B$7+$H$7/2+B242+C243/2</f>
        <v>18500</v>
      </c>
      <c r="F232" s="15"/>
      <c r="G232" s="15">
        <f>$C$7-$C$12</f>
        <v>-500</v>
      </c>
      <c r="H232" s="15" t="str">
        <f t="shared" ref="H232:H239" si="30">CONCATENATE(" (list ",E232," ",G232," ",")")</f>
        <v xml:space="preserve"> (list 18500 -500 )</v>
      </c>
      <c r="I232" s="8" t="s">
        <v>47</v>
      </c>
      <c r="J232" s="8"/>
      <c r="K232" s="8"/>
      <c r="U232" s="1" t="s">
        <v>81</v>
      </c>
      <c r="V232" s="1" t="s">
        <v>15</v>
      </c>
    </row>
    <row r="233" spans="1:33" hidden="1" x14ac:dyDescent="0.25">
      <c r="A233" s="13"/>
      <c r="B233" s="13"/>
      <c r="C233" s="14"/>
      <c r="D233" s="8"/>
      <c r="E233" s="15">
        <f>E232</f>
        <v>18500</v>
      </c>
      <c r="F233" s="15"/>
      <c r="G233" s="15">
        <f>$C$7</f>
        <v>0</v>
      </c>
      <c r="H233" s="15" t="str">
        <f t="shared" si="30"/>
        <v xml:space="preserve"> (list 18500 0 )</v>
      </c>
      <c r="I233" s="8" t="s">
        <v>48</v>
      </c>
      <c r="J233" s="8"/>
      <c r="K233" s="8"/>
      <c r="U233" s="7" t="str">
        <f>CONCATENATE(U232,$M$9,V232)</f>
        <v>(command "color" 1 "")</v>
      </c>
      <c r="AG233" s="45" t="str">
        <f t="shared" si="15"/>
        <v>(command "color" 1 "")</v>
      </c>
    </row>
    <row r="234" spans="1:33" hidden="1" x14ac:dyDescent="0.25">
      <c r="A234" s="13"/>
      <c r="B234" s="13"/>
      <c r="C234" s="14"/>
      <c r="D234" s="8"/>
      <c r="E234" s="15">
        <f>$B$7+$H$7/2+B243-C244/2</f>
        <v>24000</v>
      </c>
      <c r="F234" s="15"/>
      <c r="G234" s="15">
        <f>G233</f>
        <v>0</v>
      </c>
      <c r="H234" s="15" t="str">
        <f t="shared" si="30"/>
        <v xml:space="preserve"> (list 24000 0 )</v>
      </c>
      <c r="I234" s="8" t="s">
        <v>49</v>
      </c>
      <c r="J234" s="8"/>
      <c r="K234" s="8"/>
      <c r="U234" s="1" t="s">
        <v>79</v>
      </c>
      <c r="V234" s="1" t="s">
        <v>15</v>
      </c>
    </row>
    <row r="235" spans="1:33" hidden="1" x14ac:dyDescent="0.25">
      <c r="A235" s="13"/>
      <c r="B235" s="13"/>
      <c r="C235" s="14"/>
      <c r="D235" s="8"/>
      <c r="E235" s="15">
        <f>$B$7+$H$7/2+B243-C244/2</f>
        <v>24000</v>
      </c>
      <c r="F235" s="15"/>
      <c r="G235" s="15">
        <f>G232</f>
        <v>-500</v>
      </c>
      <c r="H235" s="15" t="str">
        <f t="shared" si="30"/>
        <v xml:space="preserve"> (list 24000 -500 )</v>
      </c>
      <c r="I235" s="8" t="s">
        <v>50</v>
      </c>
      <c r="J235" s="8"/>
      <c r="K235" s="8"/>
      <c r="U235" s="9" t="str">
        <f>IF($V$22&gt;(D232-1),CONCATENATE(U234,H232,H233,H234,H235,V234),"")</f>
        <v/>
      </c>
      <c r="AG235" s="45" t="str">
        <f t="shared" ref="AG235:AG335" si="31">U235</f>
        <v/>
      </c>
    </row>
    <row r="236" spans="1:33" hidden="1" x14ac:dyDescent="0.25">
      <c r="A236" s="13"/>
      <c r="B236" s="13"/>
      <c r="C236" s="14"/>
      <c r="D236" s="8"/>
      <c r="E236" s="16">
        <f>E232</f>
        <v>18500</v>
      </c>
      <c r="F236" s="16"/>
      <c r="G236" s="16">
        <f>$C$7+$C$10+$C$12</f>
        <v>950</v>
      </c>
      <c r="H236" s="16" t="str">
        <f t="shared" si="30"/>
        <v xml:space="preserve"> (list 18500 950 )</v>
      </c>
      <c r="I236" s="8" t="s">
        <v>52</v>
      </c>
      <c r="J236" s="8"/>
      <c r="K236" s="8"/>
      <c r="U236" s="9" t="str">
        <f>IF($V$22&gt;(D232-1),CONCATENATE(U234,H236,H237,H238,H239,V234),"")</f>
        <v/>
      </c>
      <c r="AG236" s="45" t="str">
        <f t="shared" si="31"/>
        <v/>
      </c>
    </row>
    <row r="237" spans="1:33" hidden="1" x14ac:dyDescent="0.25">
      <c r="A237" s="13"/>
      <c r="B237" s="13"/>
      <c r="C237" s="14"/>
      <c r="D237" s="8"/>
      <c r="E237" s="16">
        <f>E233</f>
        <v>18500</v>
      </c>
      <c r="F237" s="16"/>
      <c r="G237" s="16">
        <f>$C$7+$C$10</f>
        <v>450</v>
      </c>
      <c r="H237" s="16" t="str">
        <f t="shared" si="30"/>
        <v xml:space="preserve"> (list 18500 450 )</v>
      </c>
      <c r="I237" s="8" t="s">
        <v>53</v>
      </c>
      <c r="J237" s="8"/>
      <c r="K237" s="8"/>
    </row>
    <row r="238" spans="1:33" hidden="1" x14ac:dyDescent="0.25">
      <c r="A238" s="13"/>
      <c r="B238" s="13"/>
      <c r="C238" s="14"/>
      <c r="D238" s="8"/>
      <c r="E238" s="16">
        <f>E234</f>
        <v>24000</v>
      </c>
      <c r="F238" s="16"/>
      <c r="G238" s="16">
        <f>G237</f>
        <v>450</v>
      </c>
      <c r="H238" s="16" t="str">
        <f t="shared" si="30"/>
        <v xml:space="preserve"> (list 24000 450 )</v>
      </c>
      <c r="I238" s="8" t="s">
        <v>54</v>
      </c>
      <c r="J238" s="8"/>
      <c r="K238" s="8"/>
    </row>
    <row r="239" spans="1:33" hidden="1" x14ac:dyDescent="0.25">
      <c r="A239" s="13"/>
      <c r="B239" s="13"/>
      <c r="C239" s="14"/>
      <c r="D239" s="8"/>
      <c r="E239" s="16">
        <f>E235</f>
        <v>24000</v>
      </c>
      <c r="F239" s="16"/>
      <c r="G239" s="16">
        <f>G236</f>
        <v>950</v>
      </c>
      <c r="H239" s="16" t="str">
        <f t="shared" si="30"/>
        <v xml:space="preserve"> (list 24000 950 )</v>
      </c>
      <c r="I239" s="8" t="s">
        <v>51</v>
      </c>
      <c r="J239" s="8"/>
      <c r="K239" s="8"/>
      <c r="U239" s="1" t="s">
        <v>81</v>
      </c>
      <c r="V239" s="1" t="s">
        <v>15</v>
      </c>
    </row>
    <row r="240" spans="1:33" hidden="1" x14ac:dyDescent="0.25">
      <c r="A240" s="13"/>
      <c r="B240" s="8"/>
      <c r="C240" s="8"/>
      <c r="D240" s="8"/>
      <c r="E240" s="8"/>
      <c r="F240" s="8"/>
      <c r="G240" s="8"/>
      <c r="H240" s="8"/>
      <c r="I240" s="8"/>
      <c r="J240" s="8"/>
      <c r="K240" s="8"/>
      <c r="U240" s="7" t="str">
        <f>CONCATENATE(U239,$M$11,V239)</f>
        <v>(command "color" 3 "")</v>
      </c>
      <c r="AG240" s="45" t="str">
        <f t="shared" si="31"/>
        <v>(command "color" 3 "")</v>
      </c>
    </row>
    <row r="241" spans="1:33" hidden="1" x14ac:dyDescent="0.25">
      <c r="A241" s="22" t="s">
        <v>3</v>
      </c>
      <c r="B241" s="22" t="s">
        <v>9</v>
      </c>
      <c r="C241" s="23" t="s">
        <v>0</v>
      </c>
      <c r="D241" s="8"/>
      <c r="E241" s="17">
        <f>(E237+E238)/2</f>
        <v>21250</v>
      </c>
      <c r="F241" s="17"/>
      <c r="G241" s="17">
        <f>$C$7+$C$10-$C$14</f>
        <v>375</v>
      </c>
      <c r="H241" s="17" t="str">
        <f t="shared" ref="H241:H254" si="32">CONCATENATE(" (list ",E241," ",G241," ",")")</f>
        <v xml:space="preserve"> (list 21250 375 )</v>
      </c>
      <c r="I241" s="18" t="s">
        <v>36</v>
      </c>
      <c r="J241" s="18"/>
      <c r="K241" s="18"/>
      <c r="U241" s="1" t="s">
        <v>84</v>
      </c>
      <c r="V241" s="1" t="s">
        <v>22</v>
      </c>
      <c r="W241" s="5" t="s">
        <v>23</v>
      </c>
      <c r="X241" s="1" t="s">
        <v>7</v>
      </c>
    </row>
    <row r="242" spans="1:33" hidden="1" x14ac:dyDescent="0.25">
      <c r="A242" s="13"/>
      <c r="B242" s="8">
        <f>VLOOKUP(D232-1,$D$7:$H$17,4)</f>
        <v>18000</v>
      </c>
      <c r="C242" s="8"/>
      <c r="D242" s="8"/>
      <c r="E242" s="17">
        <f>E241</f>
        <v>21250</v>
      </c>
      <c r="F242" s="17"/>
      <c r="G242" s="17">
        <f>G241+$M$12</f>
        <v>675</v>
      </c>
      <c r="H242" s="17" t="str">
        <f t="shared" si="32"/>
        <v xml:space="preserve"> (list 21250 675 )</v>
      </c>
      <c r="I242" s="18" t="s">
        <v>37</v>
      </c>
      <c r="J242" s="18"/>
      <c r="K242" s="18"/>
      <c r="U242" s="7" t="str">
        <f>IF($V$22&gt;(D232-1),CONCATENATE(U241,H241,H242,H243,V241,V241,W241,X241),"")</f>
        <v/>
      </c>
      <c r="AG242" s="45" t="str">
        <f t="shared" si="31"/>
        <v/>
      </c>
    </row>
    <row r="243" spans="1:33" hidden="1" x14ac:dyDescent="0.25">
      <c r="A243" s="13"/>
      <c r="B243" s="8">
        <f>B242+A245</f>
        <v>24000</v>
      </c>
      <c r="C243" s="8">
        <f>VLOOKUP(D232,$D$7:$H$17,5)</f>
        <v>500</v>
      </c>
      <c r="D243" s="8"/>
      <c r="E243" s="17">
        <f>E242+$M$13</f>
        <v>21450</v>
      </c>
      <c r="F243" s="17"/>
      <c r="G243" s="17">
        <f>G242</f>
        <v>675</v>
      </c>
      <c r="H243" s="17" t="str">
        <f t="shared" si="32"/>
        <v xml:space="preserve"> (list 21450 675 )</v>
      </c>
      <c r="I243" s="18" t="s">
        <v>38</v>
      </c>
      <c r="J243" s="18"/>
      <c r="K243" s="18"/>
    </row>
    <row r="244" spans="1:33" hidden="1" x14ac:dyDescent="0.25">
      <c r="A244" s="13">
        <f>VLOOKUP(D232-1,$D$7:$E$17,2)</f>
        <v>6000</v>
      </c>
      <c r="B244" s="8"/>
      <c r="C244" s="8">
        <f>VLOOKUP(D232+1,$D$7:$H$17,5)</f>
        <v>500</v>
      </c>
      <c r="D244" s="8"/>
      <c r="E244" s="19">
        <f>E241</f>
        <v>21250</v>
      </c>
      <c r="F244" s="19"/>
      <c r="G244" s="19">
        <f>$C$7+$C$14</f>
        <v>75</v>
      </c>
      <c r="H244" s="19" t="str">
        <f t="shared" si="32"/>
        <v xml:space="preserve"> (list 21250 75 )</v>
      </c>
      <c r="I244" s="19" t="s">
        <v>39</v>
      </c>
      <c r="J244" s="19"/>
      <c r="K244" s="19"/>
      <c r="U244" s="1" t="s">
        <v>84</v>
      </c>
      <c r="V244" s="1" t="s">
        <v>22</v>
      </c>
      <c r="W244" s="5" t="s">
        <v>23</v>
      </c>
      <c r="X244" s="1" t="s">
        <v>7</v>
      </c>
    </row>
    <row r="245" spans="1:33" hidden="1" x14ac:dyDescent="0.25">
      <c r="A245" s="13">
        <f>VLOOKUP(D232,$D$7:$H$17,2)</f>
        <v>6000</v>
      </c>
      <c r="B245" s="8"/>
      <c r="C245" s="8"/>
      <c r="D245" s="8"/>
      <c r="E245" s="19">
        <f>E244</f>
        <v>21250</v>
      </c>
      <c r="F245" s="19"/>
      <c r="G245" s="19">
        <f>G244-$M$12</f>
        <v>-225</v>
      </c>
      <c r="H245" s="19" t="str">
        <f t="shared" si="32"/>
        <v xml:space="preserve"> (list 21250 -225 )</v>
      </c>
      <c r="I245" s="19" t="s">
        <v>40</v>
      </c>
      <c r="J245" s="19"/>
      <c r="K245" s="19"/>
      <c r="U245" s="7" t="str">
        <f>IF($V$22&gt;(D232-1),CONCATENATE(U244,H244,H245,H246,V244,V244,W244,X244),"")</f>
        <v/>
      </c>
      <c r="AG245" s="45" t="str">
        <f t="shared" si="31"/>
        <v/>
      </c>
    </row>
    <row r="246" spans="1:33" hidden="1" x14ac:dyDescent="0.25">
      <c r="A246" s="13"/>
      <c r="B246" s="8"/>
      <c r="C246" s="8"/>
      <c r="D246" s="8"/>
      <c r="E246" s="19">
        <f>E245+$M$13</f>
        <v>21450</v>
      </c>
      <c r="F246" s="19"/>
      <c r="G246" s="19">
        <f>G245</f>
        <v>-225</v>
      </c>
      <c r="H246" s="19" t="str">
        <f t="shared" si="32"/>
        <v xml:space="preserve"> (list 21450 -225 )</v>
      </c>
      <c r="I246" s="19" t="s">
        <v>41</v>
      </c>
      <c r="J246" s="19"/>
      <c r="K246" s="19"/>
      <c r="U246" s="1" t="s">
        <v>82</v>
      </c>
      <c r="X246" s="1" t="s">
        <v>7</v>
      </c>
    </row>
    <row r="247" spans="1:33" hidden="1" x14ac:dyDescent="0.25">
      <c r="A247" s="13"/>
      <c r="B247" s="8"/>
      <c r="C247" s="8"/>
      <c r="D247" s="8"/>
      <c r="E247" s="20">
        <f>$B$7+$H$7/2+B242+C243/2</f>
        <v>18500</v>
      </c>
      <c r="F247" s="20"/>
      <c r="G247" s="20">
        <f>$C$7-$C$12</f>
        <v>-500</v>
      </c>
      <c r="H247" s="20" t="str">
        <f t="shared" si="32"/>
        <v xml:space="preserve"> (list 18500 -500 )</v>
      </c>
      <c r="I247" s="20" t="s">
        <v>33</v>
      </c>
      <c r="J247" s="20"/>
      <c r="K247" s="20"/>
      <c r="U247" s="9" t="str">
        <f>IF($V$22&gt;(D232-1),CONCATENATE(U246,H247,H248,H249,X246),"")</f>
        <v/>
      </c>
      <c r="AG247" s="45" t="str">
        <f t="shared" si="31"/>
        <v/>
      </c>
    </row>
    <row r="248" spans="1:33" hidden="1" x14ac:dyDescent="0.25">
      <c r="A248" s="13"/>
      <c r="B248" s="8"/>
      <c r="C248" s="8"/>
      <c r="D248" s="8"/>
      <c r="E248" s="20">
        <f>$B$7+$H$7/2+B243-C244/2</f>
        <v>24000</v>
      </c>
      <c r="F248" s="20"/>
      <c r="G248" s="20">
        <f>$C$7-$C$12</f>
        <v>-500</v>
      </c>
      <c r="H248" s="20" t="str">
        <f t="shared" si="32"/>
        <v xml:space="preserve"> (list 24000 -500 )</v>
      </c>
      <c r="I248" s="20" t="s">
        <v>34</v>
      </c>
      <c r="J248" s="20"/>
      <c r="K248" s="20"/>
      <c r="U248" s="1" t="s">
        <v>86</v>
      </c>
      <c r="V248" s="1" t="s">
        <v>27</v>
      </c>
      <c r="W248" s="1" t="s">
        <v>29</v>
      </c>
      <c r="X248" s="1" t="s">
        <v>28</v>
      </c>
      <c r="AA248" s="1" t="s">
        <v>30</v>
      </c>
      <c r="AB248" s="1" t="s">
        <v>31</v>
      </c>
    </row>
    <row r="249" spans="1:33" hidden="1" x14ac:dyDescent="0.25">
      <c r="A249" s="66" t="s">
        <v>29</v>
      </c>
      <c r="B249" s="8"/>
      <c r="C249" s="8"/>
      <c r="D249" s="8"/>
      <c r="E249" s="20">
        <f>E248</f>
        <v>24000</v>
      </c>
      <c r="F249" s="20"/>
      <c r="G249" s="20">
        <f>G248</f>
        <v>-500</v>
      </c>
      <c r="H249" s="20" t="str">
        <f t="shared" si="32"/>
        <v xml:space="preserve"> (list 24000 -500 )</v>
      </c>
      <c r="I249" s="20" t="s">
        <v>35</v>
      </c>
      <c r="J249" s="20"/>
      <c r="K249" s="20"/>
      <c r="U249" s="9" t="str">
        <f>IF($V$22&gt;(D232-1),CONCATENATE(U248,AA248,AB248,H250," ",V248,$M$15,V248,X248,W248,X246),"")</f>
        <v/>
      </c>
      <c r="AG249" s="45" t="str">
        <f t="shared" si="31"/>
        <v/>
      </c>
    </row>
    <row r="250" spans="1:33" hidden="1" x14ac:dyDescent="0.25">
      <c r="A250" s="13"/>
      <c r="B250" s="8"/>
      <c r="C250" s="8"/>
      <c r="D250" s="8"/>
      <c r="E250" s="20">
        <f>(E247+E248)/2</f>
        <v>21250</v>
      </c>
      <c r="F250" s="20"/>
      <c r="G250" s="20">
        <f>G249+$C$14</f>
        <v>-425</v>
      </c>
      <c r="H250" s="20" t="str">
        <f t="shared" si="32"/>
        <v xml:space="preserve"> (list 21250 -425 )</v>
      </c>
      <c r="I250" s="20" t="s">
        <v>117</v>
      </c>
      <c r="J250" s="20"/>
      <c r="K250" s="20"/>
    </row>
    <row r="251" spans="1:33" hidden="1" x14ac:dyDescent="0.25">
      <c r="A251" s="13"/>
      <c r="B251" s="8"/>
      <c r="C251" s="8"/>
      <c r="D251" s="8"/>
      <c r="E251" s="17">
        <f>E247+$C$15</f>
        <v>19000</v>
      </c>
      <c r="F251" s="17"/>
      <c r="G251" s="17">
        <f>G241+$C$14/2</f>
        <v>412.5</v>
      </c>
      <c r="H251" s="17" t="str">
        <f t="shared" si="32"/>
        <v xml:space="preserve"> (list 19000 412.5 )</v>
      </c>
      <c r="I251" s="17" t="s">
        <v>42</v>
      </c>
      <c r="J251" s="17"/>
      <c r="K251" s="17"/>
      <c r="U251" s="1" t="s">
        <v>79</v>
      </c>
      <c r="V251" s="1" t="s">
        <v>15</v>
      </c>
    </row>
    <row r="252" spans="1:33" hidden="1" x14ac:dyDescent="0.25">
      <c r="A252" s="13"/>
      <c r="B252" s="8"/>
      <c r="C252" s="8"/>
      <c r="D252" s="8"/>
      <c r="E252" s="17">
        <f>E247+$C$15</f>
        <v>19000</v>
      </c>
      <c r="F252" s="17"/>
      <c r="G252" s="17">
        <f>G244-$C$14/2</f>
        <v>37.5</v>
      </c>
      <c r="H252" s="17" t="str">
        <f t="shared" si="32"/>
        <v xml:space="preserve"> (list 19000 37.5 )</v>
      </c>
      <c r="I252" s="17" t="s">
        <v>43</v>
      </c>
      <c r="J252" s="17"/>
      <c r="K252" s="17"/>
      <c r="U252" s="10" t="str">
        <f>IF($V$22&gt;(D232-1),CONCATENATE($U$159,H251,H252,V251),"")</f>
        <v/>
      </c>
      <c r="AG252" s="45" t="str">
        <f t="shared" si="31"/>
        <v/>
      </c>
    </row>
    <row r="253" spans="1:33" hidden="1" x14ac:dyDescent="0.25">
      <c r="A253" s="13"/>
      <c r="B253" s="8"/>
      <c r="C253" s="8"/>
      <c r="D253" s="8"/>
      <c r="E253" s="17">
        <f>E251+200</f>
        <v>19200</v>
      </c>
      <c r="F253" s="17"/>
      <c r="G253" s="17">
        <f>G251</f>
        <v>412.5</v>
      </c>
      <c r="H253" s="17" t="str">
        <f t="shared" si="32"/>
        <v xml:space="preserve"> (list 19200 412.5 )</v>
      </c>
      <c r="I253" s="17" t="s">
        <v>44</v>
      </c>
      <c r="J253" s="17"/>
      <c r="K253" s="17"/>
      <c r="U253" s="10" t="str">
        <f>IF($V$22&gt;(D232-1),CONCATENATE($U$159,H253,H254,V251),"")</f>
        <v/>
      </c>
      <c r="AG253" s="45" t="str">
        <f t="shared" si="31"/>
        <v/>
      </c>
    </row>
    <row r="254" spans="1:33" hidden="1" x14ac:dyDescent="0.25">
      <c r="A254" s="13"/>
      <c r="B254" s="8"/>
      <c r="C254" s="8"/>
      <c r="D254" s="8"/>
      <c r="E254" s="17">
        <f>E252+200</f>
        <v>19200</v>
      </c>
      <c r="F254" s="17"/>
      <c r="G254" s="17">
        <f>G252</f>
        <v>37.5</v>
      </c>
      <c r="H254" s="17" t="str">
        <f t="shared" si="32"/>
        <v xml:space="preserve"> (list 19200 37.5 )</v>
      </c>
      <c r="I254" s="17" t="s">
        <v>45</v>
      </c>
      <c r="J254" s="17"/>
      <c r="K254" s="17"/>
    </row>
    <row r="255" spans="1:33" hidden="1" x14ac:dyDescent="0.25">
      <c r="A255" s="13"/>
      <c r="B255" s="8"/>
      <c r="C255" s="8"/>
      <c r="D255" s="8"/>
      <c r="E255" s="21" t="s">
        <v>21</v>
      </c>
      <c r="F255" s="21"/>
      <c r="G255" s="8"/>
      <c r="H255" s="8"/>
      <c r="I255" s="8"/>
      <c r="J255" s="8"/>
      <c r="K255" s="8"/>
      <c r="U255" s="1" t="s">
        <v>86</v>
      </c>
      <c r="V255" s="1" t="s">
        <v>27</v>
      </c>
      <c r="W255" s="1" t="s">
        <v>63</v>
      </c>
      <c r="X255" s="1" t="s">
        <v>28</v>
      </c>
      <c r="AA255" s="1" t="s">
        <v>30</v>
      </c>
      <c r="AB255" s="1" t="s">
        <v>32</v>
      </c>
    </row>
    <row r="256" spans="1:33" hidden="1" x14ac:dyDescent="0.25">
      <c r="A256" s="8" t="s">
        <v>62</v>
      </c>
      <c r="B256" s="8" t="s">
        <v>115</v>
      </c>
      <c r="C256" s="8"/>
      <c r="D256" s="8"/>
      <c r="E256" s="8">
        <f>E243+50</f>
        <v>21500</v>
      </c>
      <c r="F256" s="8"/>
      <c r="G256" s="8">
        <f>G243</f>
        <v>675</v>
      </c>
      <c r="H256" s="17" t="str">
        <f t="shared" ref="H256:H257" si="33">CONCATENATE(" (list ",E256," ",G256," ",")")</f>
        <v xml:space="preserve"> (list 21500 675 )</v>
      </c>
      <c r="I256" s="8" t="s">
        <v>113</v>
      </c>
      <c r="J256" s="8"/>
      <c r="K256" s="8"/>
      <c r="U256" s="6" t="str">
        <f>IF($V$22&gt;(D232-1),CONCATENATE(U255,AA255,AB255,H256," ",V255,$M$15,V255,X255,A256,X256),"")</f>
        <v/>
      </c>
      <c r="V256" s="1" t="s">
        <v>22</v>
      </c>
      <c r="W256" s="5" t="s">
        <v>23</v>
      </c>
      <c r="X256" s="1" t="s">
        <v>7</v>
      </c>
      <c r="AG256" s="45" t="str">
        <f t="shared" si="31"/>
        <v/>
      </c>
    </row>
    <row r="257" spans="1:33" hidden="1" x14ac:dyDescent="0.25">
      <c r="A257" s="8" t="s">
        <v>62</v>
      </c>
      <c r="B257" s="8" t="s">
        <v>116</v>
      </c>
      <c r="C257" s="8"/>
      <c r="D257" s="8"/>
      <c r="E257" s="8">
        <f>E246+50</f>
        <v>21500</v>
      </c>
      <c r="F257" s="8"/>
      <c r="G257" s="8">
        <f>G246</f>
        <v>-225</v>
      </c>
      <c r="H257" s="17" t="str">
        <f t="shared" si="33"/>
        <v xml:space="preserve"> (list 21500 -225 )</v>
      </c>
      <c r="I257" s="8" t="s">
        <v>114</v>
      </c>
      <c r="J257" s="8"/>
      <c r="K257" s="8"/>
      <c r="U257" s="6" t="str">
        <f>IF($V$22&gt;(D232-1),CONCATENATE(U255,AA255,AB255,H257," ",V255,$M$15,V255,X255,A257,X256),"")</f>
        <v/>
      </c>
      <c r="AD257" s="43"/>
      <c r="AG257" s="45" t="str">
        <f t="shared" si="31"/>
        <v/>
      </c>
    </row>
    <row r="258" spans="1:33" hidden="1" x14ac:dyDescent="0.25">
      <c r="A258" s="6"/>
      <c r="B258" s="6"/>
      <c r="C258" s="6"/>
      <c r="D258" s="6"/>
      <c r="E258" s="6"/>
      <c r="F258" s="6"/>
      <c r="G258" s="6"/>
      <c r="H258" s="102"/>
      <c r="I258" s="6"/>
      <c r="J258" s="6"/>
      <c r="K258" s="6"/>
      <c r="U258" s="6"/>
      <c r="AD258" s="43"/>
    </row>
    <row r="259" spans="1:33" ht="15" hidden="1" customHeight="1" x14ac:dyDescent="0.25">
      <c r="A259" s="91" t="s">
        <v>118</v>
      </c>
      <c r="B259" s="91">
        <f>$E$10</f>
        <v>0</v>
      </c>
      <c r="C259" s="8"/>
      <c r="D259" s="127" t="s">
        <v>131</v>
      </c>
      <c r="E259" s="8"/>
      <c r="F259" s="8"/>
      <c r="G259" s="8"/>
      <c r="H259" s="8"/>
      <c r="I259" s="8"/>
      <c r="J259" s="8"/>
      <c r="K259" s="8"/>
      <c r="U259" s="1" t="s">
        <v>81</v>
      </c>
      <c r="V259" s="1" t="s">
        <v>15</v>
      </c>
      <c r="AG259" s="90"/>
    </row>
    <row r="260" spans="1:33" ht="15" hidden="1" customHeight="1" x14ac:dyDescent="0.25">
      <c r="A260" s="91" t="s">
        <v>95</v>
      </c>
      <c r="B260" s="91">
        <f>B259/10</f>
        <v>0</v>
      </c>
      <c r="C260" s="8"/>
      <c r="D260" s="127"/>
      <c r="E260" s="92">
        <f>$B$7+$H$7/2+$G$9+$H$10/2+B260</f>
        <v>18250</v>
      </c>
      <c r="F260" s="92"/>
      <c r="G260" s="92">
        <f>$G$78</f>
        <v>150</v>
      </c>
      <c r="H260" s="92" t="str">
        <f t="shared" ref="H260:H263" si="34">CONCATENATE(" (list ",E260," ",G260," ",")")</f>
        <v xml:space="preserve"> (list 18250 150 )</v>
      </c>
      <c r="I260" s="92" t="s">
        <v>97</v>
      </c>
      <c r="J260" s="8"/>
      <c r="K260" s="8"/>
      <c r="U260" s="7" t="str">
        <f>CONCATENATE(U259,$M$10,V259)</f>
        <v>(command "color" 2 "")</v>
      </c>
      <c r="AG260" s="90" t="str">
        <f t="shared" ref="AG260" si="35">U260</f>
        <v>(command "color" 2 "")</v>
      </c>
    </row>
    <row r="261" spans="1:33" hidden="1" x14ac:dyDescent="0.25">
      <c r="A261" s="91" t="s">
        <v>96</v>
      </c>
      <c r="B261" s="91">
        <f>FLOOR(B259/3,1)</f>
        <v>0</v>
      </c>
      <c r="C261" s="8"/>
      <c r="D261" s="127"/>
      <c r="E261" s="92">
        <f>$B$7+$H$7/2+$G$10-$H$11/2-B260</f>
        <v>18250</v>
      </c>
      <c r="F261" s="92"/>
      <c r="G261" s="92">
        <f>G260</f>
        <v>150</v>
      </c>
      <c r="H261" s="92" t="str">
        <f t="shared" si="34"/>
        <v xml:space="preserve"> (list 18250 150 )</v>
      </c>
      <c r="I261" s="92" t="s">
        <v>98</v>
      </c>
      <c r="J261" s="8"/>
      <c r="K261" s="8"/>
      <c r="U261" s="1" t="s">
        <v>79</v>
      </c>
      <c r="V261" s="1" t="s">
        <v>15</v>
      </c>
      <c r="AG261" s="90"/>
    </row>
    <row r="262" spans="1:33" hidden="1" x14ac:dyDescent="0.25">
      <c r="A262" s="91" t="s">
        <v>103</v>
      </c>
      <c r="B262" s="91">
        <f>E261-E260</f>
        <v>0</v>
      </c>
      <c r="C262" s="8"/>
      <c r="D262" s="127"/>
      <c r="E262" s="20">
        <f>$B$7+$H$7/2+$G$9</f>
        <v>18250</v>
      </c>
      <c r="F262" s="20"/>
      <c r="G262" s="20">
        <f>$G$82</f>
        <v>300</v>
      </c>
      <c r="H262" s="20" t="str">
        <f t="shared" si="34"/>
        <v xml:space="preserve"> (list 18250 300 )</v>
      </c>
      <c r="I262" s="20" t="s">
        <v>100</v>
      </c>
      <c r="J262" s="8" t="s">
        <v>129</v>
      </c>
      <c r="K262" s="8"/>
      <c r="U262" s="62" t="str">
        <f>IF($V$22&gt;(D232-1),IF($I$8="Y",CONCATENATE($U$79,H260,H261,$V$79),""),"")</f>
        <v/>
      </c>
      <c r="AG262" s="90" t="str">
        <f t="shared" ref="AG262:AG264" si="36">U262</f>
        <v/>
      </c>
    </row>
    <row r="263" spans="1:33" hidden="1" x14ac:dyDescent="0.25">
      <c r="A263" s="91"/>
      <c r="B263" s="91"/>
      <c r="C263" s="8"/>
      <c r="D263" s="127"/>
      <c r="E263" s="20">
        <f>E262+B261</f>
        <v>18250</v>
      </c>
      <c r="F263" s="20"/>
      <c r="G263" s="20">
        <f>G262</f>
        <v>300</v>
      </c>
      <c r="H263" s="20" t="str">
        <f t="shared" si="34"/>
        <v xml:space="preserve"> (list 18250 300 )</v>
      </c>
      <c r="I263" s="20" t="s">
        <v>99</v>
      </c>
      <c r="J263" s="8"/>
      <c r="K263" s="8"/>
      <c r="U263" s="62" t="str">
        <f>IF($V$22&gt;(D232-1),IF($F$9="Y",CONCATENATE($U$79,H262,H263,$V$79),""),"")</f>
        <v/>
      </c>
      <c r="AG263" s="90" t="str">
        <f t="shared" si="36"/>
        <v/>
      </c>
    </row>
    <row r="264" spans="1:33" hidden="1" x14ac:dyDescent="0.25">
      <c r="A264" s="91"/>
      <c r="B264" s="91"/>
      <c r="C264" s="8"/>
      <c r="D264" s="127"/>
      <c r="E264" s="92">
        <f>E262+B259</f>
        <v>18250</v>
      </c>
      <c r="F264" s="92"/>
      <c r="G264" s="92">
        <f>G263</f>
        <v>300</v>
      </c>
      <c r="H264" s="92" t="str">
        <f>CONCATENATE(" (list ",E264," ",G264," ",")")</f>
        <v xml:space="preserve"> (list 18250 300 )</v>
      </c>
      <c r="I264" s="92" t="s">
        <v>132</v>
      </c>
      <c r="J264" s="8" t="s">
        <v>130</v>
      </c>
      <c r="K264" s="8"/>
      <c r="U264" s="62" t="str">
        <f>IF($V$22&gt;(D232-1),IF($F$10="Y",CONCATENATE($U$79,H264,H265,$V$79),""),"")</f>
        <v/>
      </c>
      <c r="AG264" s="90" t="str">
        <f t="shared" si="36"/>
        <v/>
      </c>
    </row>
    <row r="265" spans="1:33" hidden="1" x14ac:dyDescent="0.25">
      <c r="A265" s="91"/>
      <c r="B265" s="91"/>
      <c r="C265" s="8"/>
      <c r="D265" s="127"/>
      <c r="E265" s="92">
        <f>E264-B261</f>
        <v>18250</v>
      </c>
      <c r="F265" s="92"/>
      <c r="G265" s="92">
        <f>G263</f>
        <v>300</v>
      </c>
      <c r="H265" s="92" t="str">
        <f>CONCATENATE(" (list ",E265," ",G265," ",")")</f>
        <v xml:space="preserve"> (list 18250 300 )</v>
      </c>
      <c r="I265" s="92" t="s">
        <v>133</v>
      </c>
      <c r="J265" s="8"/>
      <c r="K265" s="8"/>
      <c r="U265" s="1" t="s">
        <v>81</v>
      </c>
      <c r="V265" s="1" t="s">
        <v>15</v>
      </c>
      <c r="AG265" s="90"/>
    </row>
    <row r="266" spans="1:33" hidden="1" x14ac:dyDescent="0.25">
      <c r="A266" s="100" t="s">
        <v>107</v>
      </c>
      <c r="B266" s="100"/>
      <c r="C266" s="17"/>
      <c r="D266" s="127"/>
      <c r="E266" s="93">
        <f>FLOOR(B262*2/3,1)+E260</f>
        <v>18250</v>
      </c>
      <c r="F266" s="93"/>
      <c r="G266" s="93">
        <f>G261</f>
        <v>150</v>
      </c>
      <c r="H266" s="93" t="str">
        <f t="shared" ref="H266:H273" si="37">CONCATENATE(" (list ",E266," ",G266," ",")")</f>
        <v xml:space="preserve"> (list 18250 150 )</v>
      </c>
      <c r="I266" s="93" t="s">
        <v>104</v>
      </c>
      <c r="J266" s="94"/>
      <c r="K266" s="95"/>
      <c r="U266" s="62" t="str">
        <f>CONCATENATE(U265,$M$11,V265)</f>
        <v>(command "color" 3 "")</v>
      </c>
      <c r="AG266" s="90" t="str">
        <f t="shared" ref="AG266" si="38">U266</f>
        <v>(command "color" 3 "")</v>
      </c>
    </row>
    <row r="267" spans="1:33" hidden="1" x14ac:dyDescent="0.25">
      <c r="A267" s="100" t="s">
        <v>108</v>
      </c>
      <c r="B267" s="100">
        <v>150</v>
      </c>
      <c r="C267" s="17"/>
      <c r="D267" s="127"/>
      <c r="E267" s="93">
        <f>E266+B267</f>
        <v>18400</v>
      </c>
      <c r="F267" s="93"/>
      <c r="G267" s="93">
        <f>G266+B268</f>
        <v>300</v>
      </c>
      <c r="H267" s="93" t="str">
        <f t="shared" si="37"/>
        <v xml:space="preserve"> (list 18400 300 )</v>
      </c>
      <c r="I267" s="93" t="s">
        <v>105</v>
      </c>
      <c r="J267" s="94"/>
      <c r="K267" s="95"/>
      <c r="U267" s="1" t="s">
        <v>84</v>
      </c>
      <c r="V267" s="1" t="s">
        <v>22</v>
      </c>
      <c r="W267" s="5" t="s">
        <v>23</v>
      </c>
      <c r="X267" s="1" t="s">
        <v>7</v>
      </c>
      <c r="AG267" s="90"/>
    </row>
    <row r="268" spans="1:33" hidden="1" x14ac:dyDescent="0.25">
      <c r="A268" s="100" t="s">
        <v>109</v>
      </c>
      <c r="B268" s="100">
        <v>150</v>
      </c>
      <c r="C268" s="17"/>
      <c r="D268" s="127"/>
      <c r="E268" s="93">
        <f>E267</f>
        <v>18400</v>
      </c>
      <c r="F268" s="93"/>
      <c r="G268" s="93">
        <f>G246</f>
        <v>-225</v>
      </c>
      <c r="H268" s="93" t="str">
        <f t="shared" si="37"/>
        <v xml:space="preserve"> (list 18400 -225 )</v>
      </c>
      <c r="I268" s="93" t="s">
        <v>106</v>
      </c>
      <c r="J268" s="94"/>
      <c r="K268" s="95"/>
      <c r="U268" s="62" t="str">
        <f>IF($V$22&gt;(D232-1),IF($F$8="Y",(CONCATENATE(U267,H266,H267,H268,H269,V267,V267,W267,X267)),""),"")</f>
        <v/>
      </c>
      <c r="AG268" s="90" t="str">
        <f>U268</f>
        <v/>
      </c>
    </row>
    <row r="269" spans="1:33" hidden="1" x14ac:dyDescent="0.25">
      <c r="A269" s="100"/>
      <c r="B269" s="100"/>
      <c r="C269" s="17"/>
      <c r="D269" s="127"/>
      <c r="E269" s="93">
        <f>E268+$M$13</f>
        <v>18600</v>
      </c>
      <c r="F269" s="93"/>
      <c r="G269" s="93">
        <f>G268</f>
        <v>-225</v>
      </c>
      <c r="H269" s="93" t="str">
        <f t="shared" si="37"/>
        <v xml:space="preserve"> (list 18600 -225 )</v>
      </c>
      <c r="I269" s="93" t="s">
        <v>110</v>
      </c>
      <c r="J269" s="94"/>
      <c r="K269" s="95"/>
      <c r="U269" s="1" t="s">
        <v>81</v>
      </c>
      <c r="V269" s="1" t="s">
        <v>15</v>
      </c>
      <c r="AG269" s="90"/>
    </row>
    <row r="270" spans="1:33" hidden="1" x14ac:dyDescent="0.25">
      <c r="A270" s="100"/>
      <c r="B270" s="100"/>
      <c r="C270" s="17"/>
      <c r="D270" s="127"/>
      <c r="E270" s="94">
        <f>E263-3*B267</f>
        <v>17800</v>
      </c>
      <c r="F270" s="94"/>
      <c r="G270" s="94">
        <f>G265</f>
        <v>300</v>
      </c>
      <c r="H270" s="94" t="str">
        <f t="shared" si="37"/>
        <v xml:space="preserve"> (list 17800 300 )</v>
      </c>
      <c r="I270" s="94" t="s">
        <v>122</v>
      </c>
      <c r="J270" s="96"/>
      <c r="K270" s="95"/>
      <c r="U270" s="62" t="str">
        <f>CONCATENATE(U269,$M$11,V269)</f>
        <v>(command "color" 3 "")</v>
      </c>
      <c r="AG270" s="90" t="str">
        <f>U270</f>
        <v>(command "color" 3 "")</v>
      </c>
    </row>
    <row r="271" spans="1:33" hidden="1" x14ac:dyDescent="0.25">
      <c r="A271" s="100"/>
      <c r="B271" s="100"/>
      <c r="C271" s="17"/>
      <c r="D271" s="127"/>
      <c r="E271" s="94">
        <f>E270+B267</f>
        <v>17950</v>
      </c>
      <c r="F271" s="94"/>
      <c r="G271" s="94">
        <f>G270-B268</f>
        <v>150</v>
      </c>
      <c r="H271" s="94" t="str">
        <f t="shared" si="37"/>
        <v xml:space="preserve"> (list 17950 150 )</v>
      </c>
      <c r="I271" s="94" t="s">
        <v>123</v>
      </c>
      <c r="J271" s="96"/>
      <c r="K271" s="95"/>
      <c r="U271" s="1" t="s">
        <v>84</v>
      </c>
      <c r="V271" s="1" t="s">
        <v>22</v>
      </c>
      <c r="W271" s="5" t="s">
        <v>23</v>
      </c>
      <c r="X271" s="1" t="s">
        <v>7</v>
      </c>
      <c r="AG271" s="90"/>
    </row>
    <row r="272" spans="1:33" hidden="1" x14ac:dyDescent="0.25">
      <c r="A272" s="100"/>
      <c r="B272" s="100"/>
      <c r="C272" s="17"/>
      <c r="D272" s="127"/>
      <c r="E272" s="94">
        <f>E271</f>
        <v>17950</v>
      </c>
      <c r="F272" s="94"/>
      <c r="G272" s="94">
        <f>G243</f>
        <v>675</v>
      </c>
      <c r="H272" s="94" t="str">
        <f t="shared" si="37"/>
        <v xml:space="preserve"> (list 17950 675 )</v>
      </c>
      <c r="I272" s="94" t="s">
        <v>124</v>
      </c>
      <c r="J272" s="96"/>
      <c r="K272" s="95"/>
      <c r="U272" s="62" t="str">
        <f>IF($V$22&gt;(D232-1),IF($I$8="Y",(CONCATENATE(U271,H270,H271,H272,H273,V271,V271,W271,X271)),""),"")</f>
        <v/>
      </c>
      <c r="AG272" s="90" t="str">
        <f>U272</f>
        <v/>
      </c>
    </row>
    <row r="273" spans="1:33" hidden="1" x14ac:dyDescent="0.25">
      <c r="A273" s="100"/>
      <c r="B273" s="100"/>
      <c r="C273" s="17"/>
      <c r="D273" s="127"/>
      <c r="E273" s="94">
        <f>E272+$M$13</f>
        <v>18150</v>
      </c>
      <c r="F273" s="94"/>
      <c r="G273" s="94">
        <f>G272</f>
        <v>675</v>
      </c>
      <c r="H273" s="94" t="str">
        <f t="shared" si="37"/>
        <v xml:space="preserve"> (list 18150 675 )</v>
      </c>
      <c r="I273" s="94" t="s">
        <v>125</v>
      </c>
      <c r="J273" s="96"/>
      <c r="K273" s="95"/>
      <c r="U273" s="1" t="s">
        <v>86</v>
      </c>
      <c r="V273" s="1" t="s">
        <v>27</v>
      </c>
      <c r="X273" s="1" t="s">
        <v>28</v>
      </c>
      <c r="Y273" s="1" t="s">
        <v>19</v>
      </c>
      <c r="AG273" s="90"/>
    </row>
    <row r="274" spans="1:33" hidden="1" x14ac:dyDescent="0.25">
      <c r="A274" s="100" t="s">
        <v>62</v>
      </c>
      <c r="B274" s="100" t="s">
        <v>127</v>
      </c>
      <c r="C274" s="17"/>
      <c r="D274" s="127"/>
      <c r="E274" s="93">
        <f>E269+25</f>
        <v>18625</v>
      </c>
      <c r="F274" s="93"/>
      <c r="G274" s="93">
        <f>G269-$M$15/2</f>
        <v>-275</v>
      </c>
      <c r="H274" s="93" t="str">
        <f>CONCATENATE(" (list ",E274," ",G274," ",")")</f>
        <v xml:space="preserve"> (list 18625 -275 )</v>
      </c>
      <c r="I274" s="93" t="s">
        <v>119</v>
      </c>
      <c r="J274" s="94"/>
      <c r="K274" s="95"/>
      <c r="U274" s="62" t="str">
        <f>IF($V$22&gt;(D232-1),IF($F$8="Y",CONCATENATE($U$90,H274," ",$V$90,M205,$V$90,$X$90,A274,$Y$90),""),"")</f>
        <v/>
      </c>
      <c r="AG274" s="90" t="str">
        <f>U274</f>
        <v/>
      </c>
    </row>
    <row r="275" spans="1:33" hidden="1" x14ac:dyDescent="0.25">
      <c r="A275" s="100" t="s">
        <v>62</v>
      </c>
      <c r="B275" s="100" t="s">
        <v>126</v>
      </c>
      <c r="C275" s="17"/>
      <c r="D275" s="127"/>
      <c r="E275" s="97">
        <f>E273+25</f>
        <v>18175</v>
      </c>
      <c r="F275" s="97"/>
      <c r="G275" s="97">
        <f>G273-$M$15/2</f>
        <v>625</v>
      </c>
      <c r="H275" s="97" t="str">
        <f>CONCATENATE(" (list ",E275," ",G275," ",")")</f>
        <v xml:space="preserve"> (list 18175 625 )</v>
      </c>
      <c r="I275" s="97" t="s">
        <v>120</v>
      </c>
      <c r="J275" s="98"/>
      <c r="K275" s="99"/>
      <c r="U275" s="62" t="str">
        <f>IF($V$22&gt;(D232-1),IF($I$8="Y",CONCATENATE(U273,H275," ",V273,M205,V273,X273,A275,Y273),""),"")</f>
        <v/>
      </c>
      <c r="AG275" s="90" t="str">
        <f>U275</f>
        <v/>
      </c>
    </row>
    <row r="276" spans="1:33" hidden="1" x14ac:dyDescent="0.25">
      <c r="A276" s="8"/>
      <c r="B276" s="8"/>
      <c r="C276" s="8"/>
      <c r="D276" s="8"/>
      <c r="E276" s="8"/>
      <c r="F276" s="8"/>
      <c r="G276" s="8"/>
      <c r="H276" s="17"/>
      <c r="I276" s="8"/>
      <c r="J276" s="8"/>
      <c r="K276" s="8"/>
      <c r="U276" s="35"/>
      <c r="AD276" s="43"/>
    </row>
    <row r="277" spans="1:33" hidden="1" x14ac:dyDescent="0.25">
      <c r="A277" s="8"/>
      <c r="B277" s="8"/>
      <c r="C277" s="8"/>
      <c r="D277" s="8"/>
      <c r="E277" s="8"/>
      <c r="F277" s="8"/>
      <c r="G277" s="8"/>
      <c r="H277" s="17"/>
      <c r="I277" s="8"/>
      <c r="J277" s="8"/>
      <c r="K277" s="8"/>
      <c r="U277" s="35"/>
      <c r="AD277" s="43"/>
    </row>
    <row r="278" spans="1:33" hidden="1" x14ac:dyDescent="0.25"/>
    <row r="279" spans="1:33" ht="21" hidden="1" x14ac:dyDescent="0.35">
      <c r="A279" s="13"/>
      <c r="B279" s="13"/>
      <c r="C279" s="14"/>
      <c r="D279" s="103">
        <f>D232+1</f>
        <v>5</v>
      </c>
      <c r="E279" s="15">
        <f>$B$7+$H$7/2+B289+C290/2</f>
        <v>18500</v>
      </c>
      <c r="F279" s="15"/>
      <c r="G279" s="15">
        <f>$C$7-$C$12</f>
        <v>-500</v>
      </c>
      <c r="H279" s="15" t="str">
        <f t="shared" ref="H279:H286" si="39">CONCATENATE(" (list ",E279," ",G279," ",")")</f>
        <v xml:space="preserve"> (list 18500 -500 )</v>
      </c>
      <c r="I279" s="8" t="s">
        <v>47</v>
      </c>
      <c r="J279" s="8"/>
      <c r="K279" s="8"/>
      <c r="U279" s="1" t="s">
        <v>81</v>
      </c>
      <c r="V279" s="1" t="s">
        <v>15</v>
      </c>
    </row>
    <row r="280" spans="1:33" hidden="1" x14ac:dyDescent="0.25">
      <c r="A280" s="13"/>
      <c r="B280" s="13"/>
      <c r="C280" s="14"/>
      <c r="D280" s="8"/>
      <c r="E280" s="15">
        <f>E279</f>
        <v>18500</v>
      </c>
      <c r="F280" s="15"/>
      <c r="G280" s="15">
        <f>$C$7</f>
        <v>0</v>
      </c>
      <c r="H280" s="15" t="str">
        <f t="shared" si="39"/>
        <v xml:space="preserve"> (list 18500 0 )</v>
      </c>
      <c r="I280" s="8" t="s">
        <v>48</v>
      </c>
      <c r="J280" s="8"/>
      <c r="K280" s="8"/>
      <c r="U280" s="7" t="str">
        <f>CONCATENATE(U279,$M$9,V279)</f>
        <v>(command "color" 1 "")</v>
      </c>
      <c r="AG280" s="45" t="str">
        <f t="shared" si="31"/>
        <v>(command "color" 1 "")</v>
      </c>
    </row>
    <row r="281" spans="1:33" hidden="1" x14ac:dyDescent="0.25">
      <c r="A281" s="13"/>
      <c r="B281" s="13"/>
      <c r="C281" s="14"/>
      <c r="D281" s="8"/>
      <c r="E281" s="15">
        <f>$B$7+$H$7/2+B290-C291/2</f>
        <v>24000</v>
      </c>
      <c r="F281" s="15"/>
      <c r="G281" s="15">
        <f>G280</f>
        <v>0</v>
      </c>
      <c r="H281" s="15" t="str">
        <f t="shared" si="39"/>
        <v xml:space="preserve"> (list 24000 0 )</v>
      </c>
      <c r="I281" s="8" t="s">
        <v>49</v>
      </c>
      <c r="J281" s="8"/>
      <c r="K281" s="8"/>
      <c r="U281" s="1" t="s">
        <v>79</v>
      </c>
      <c r="V281" s="1" t="s">
        <v>15</v>
      </c>
    </row>
    <row r="282" spans="1:33" hidden="1" x14ac:dyDescent="0.25">
      <c r="A282" s="13"/>
      <c r="B282" s="13"/>
      <c r="C282" s="14"/>
      <c r="D282" s="8"/>
      <c r="E282" s="15">
        <f>$B$7+$H$7/2+B290-C291/2</f>
        <v>24000</v>
      </c>
      <c r="F282" s="15"/>
      <c r="G282" s="15">
        <f>G279</f>
        <v>-500</v>
      </c>
      <c r="H282" s="15" t="str">
        <f t="shared" si="39"/>
        <v xml:space="preserve"> (list 24000 -500 )</v>
      </c>
      <c r="I282" s="8" t="s">
        <v>50</v>
      </c>
      <c r="J282" s="8"/>
      <c r="K282" s="8"/>
      <c r="U282" s="9" t="str">
        <f>IF($V$22&gt;(D279-1),CONCATENATE(U281,H279,H280,H281,H282,V281),"")</f>
        <v/>
      </c>
      <c r="AG282" s="45" t="str">
        <f t="shared" si="31"/>
        <v/>
      </c>
    </row>
    <row r="283" spans="1:33" hidden="1" x14ac:dyDescent="0.25">
      <c r="A283" s="13"/>
      <c r="B283" s="13"/>
      <c r="C283" s="14"/>
      <c r="D283" s="8"/>
      <c r="E283" s="16">
        <f>E279</f>
        <v>18500</v>
      </c>
      <c r="F283" s="16"/>
      <c r="G283" s="16">
        <f>$C$7+$C$10+$C$12</f>
        <v>950</v>
      </c>
      <c r="H283" s="16" t="str">
        <f t="shared" si="39"/>
        <v xml:space="preserve"> (list 18500 950 )</v>
      </c>
      <c r="I283" s="8" t="s">
        <v>52</v>
      </c>
      <c r="J283" s="8"/>
      <c r="K283" s="8"/>
      <c r="U283" s="9" t="str">
        <f>IF($V$22&gt;(D279-1),CONCATENATE(U281,H283,H284,H285,H286,V281),"")</f>
        <v/>
      </c>
      <c r="AG283" s="45" t="str">
        <f t="shared" si="31"/>
        <v/>
      </c>
    </row>
    <row r="284" spans="1:33" hidden="1" x14ac:dyDescent="0.25">
      <c r="A284" s="13"/>
      <c r="B284" s="13"/>
      <c r="C284" s="14"/>
      <c r="D284" s="8"/>
      <c r="E284" s="16">
        <f>E280</f>
        <v>18500</v>
      </c>
      <c r="F284" s="16"/>
      <c r="G284" s="16">
        <f>$C$7+$C$10</f>
        <v>450</v>
      </c>
      <c r="H284" s="16" t="str">
        <f t="shared" si="39"/>
        <v xml:space="preserve"> (list 18500 450 )</v>
      </c>
      <c r="I284" s="8" t="s">
        <v>53</v>
      </c>
      <c r="J284" s="8"/>
      <c r="K284" s="8"/>
    </row>
    <row r="285" spans="1:33" hidden="1" x14ac:dyDescent="0.25">
      <c r="A285" s="13"/>
      <c r="B285" s="13"/>
      <c r="C285" s="14"/>
      <c r="D285" s="8"/>
      <c r="E285" s="16">
        <f>E281</f>
        <v>24000</v>
      </c>
      <c r="F285" s="16"/>
      <c r="G285" s="16">
        <f>G284</f>
        <v>450</v>
      </c>
      <c r="H285" s="16" t="str">
        <f t="shared" si="39"/>
        <v xml:space="preserve"> (list 24000 450 )</v>
      </c>
      <c r="I285" s="8" t="s">
        <v>54</v>
      </c>
      <c r="J285" s="8"/>
      <c r="K285" s="8"/>
    </row>
    <row r="286" spans="1:33" hidden="1" x14ac:dyDescent="0.25">
      <c r="A286" s="13"/>
      <c r="B286" s="13"/>
      <c r="C286" s="14"/>
      <c r="D286" s="8"/>
      <c r="E286" s="16">
        <f>E282</f>
        <v>24000</v>
      </c>
      <c r="F286" s="16"/>
      <c r="G286" s="16">
        <f>G283</f>
        <v>950</v>
      </c>
      <c r="H286" s="16" t="str">
        <f t="shared" si="39"/>
        <v xml:space="preserve"> (list 24000 950 )</v>
      </c>
      <c r="I286" s="8" t="s">
        <v>51</v>
      </c>
      <c r="J286" s="8"/>
      <c r="K286" s="8"/>
      <c r="U286" s="1" t="s">
        <v>81</v>
      </c>
      <c r="V286" s="1" t="s">
        <v>15</v>
      </c>
    </row>
    <row r="287" spans="1:33" hidden="1" x14ac:dyDescent="0.25">
      <c r="A287" s="13"/>
      <c r="B287" s="8"/>
      <c r="C287" s="8"/>
      <c r="D287" s="8"/>
      <c r="E287" s="8"/>
      <c r="F287" s="8"/>
      <c r="G287" s="8"/>
      <c r="H287" s="8"/>
      <c r="I287" s="8"/>
      <c r="J287" s="8"/>
      <c r="K287" s="8"/>
      <c r="U287" s="7" t="str">
        <f>CONCATENATE(U286,$M$11,V286)</f>
        <v>(command "color" 3 "")</v>
      </c>
      <c r="AG287" s="45" t="str">
        <f t="shared" si="31"/>
        <v>(command "color" 3 "")</v>
      </c>
    </row>
    <row r="288" spans="1:33" hidden="1" x14ac:dyDescent="0.25">
      <c r="A288" s="22" t="s">
        <v>3</v>
      </c>
      <c r="B288" s="22" t="s">
        <v>9</v>
      </c>
      <c r="C288" s="23" t="s">
        <v>0</v>
      </c>
      <c r="D288" s="8"/>
      <c r="E288" s="17">
        <f>(E284+E285)/2</f>
        <v>21250</v>
      </c>
      <c r="F288" s="17"/>
      <c r="G288" s="17">
        <f>$C$7+$C$10-$C$14</f>
        <v>375</v>
      </c>
      <c r="H288" s="17" t="str">
        <f t="shared" ref="H288:H301" si="40">CONCATENATE(" (list ",E288," ",G288," ",")")</f>
        <v xml:space="preserve"> (list 21250 375 )</v>
      </c>
      <c r="I288" s="18" t="s">
        <v>36</v>
      </c>
      <c r="J288" s="18"/>
      <c r="K288" s="18"/>
      <c r="U288" s="1" t="s">
        <v>84</v>
      </c>
      <c r="V288" s="1" t="s">
        <v>22</v>
      </c>
      <c r="W288" s="5" t="s">
        <v>23</v>
      </c>
      <c r="X288" s="1" t="s">
        <v>7</v>
      </c>
    </row>
    <row r="289" spans="1:33" hidden="1" x14ac:dyDescent="0.25">
      <c r="A289" s="13"/>
      <c r="B289" s="8">
        <f>VLOOKUP(D279-1,$D$7:$H$17,4)</f>
        <v>18000</v>
      </c>
      <c r="C289" s="8"/>
      <c r="D289" s="8"/>
      <c r="E289" s="17">
        <f>E288</f>
        <v>21250</v>
      </c>
      <c r="F289" s="17"/>
      <c r="G289" s="17">
        <f>G288+$M$12</f>
        <v>675</v>
      </c>
      <c r="H289" s="17" t="str">
        <f t="shared" si="40"/>
        <v xml:space="preserve"> (list 21250 675 )</v>
      </c>
      <c r="I289" s="18" t="s">
        <v>37</v>
      </c>
      <c r="J289" s="18"/>
      <c r="K289" s="18"/>
      <c r="U289" s="7" t="str">
        <f>IF($V$22&gt;(D279-1),CONCATENATE(U288,H288,H289,H290,V288,V288,W288,X288),"")</f>
        <v/>
      </c>
      <c r="AG289" s="45" t="str">
        <f t="shared" si="31"/>
        <v/>
      </c>
    </row>
    <row r="290" spans="1:33" hidden="1" x14ac:dyDescent="0.25">
      <c r="A290" s="13"/>
      <c r="B290" s="8">
        <f>B289+A292</f>
        <v>24000</v>
      </c>
      <c r="C290" s="8">
        <f>VLOOKUP(D279,$D$7:$H$17,5)</f>
        <v>500</v>
      </c>
      <c r="D290" s="8"/>
      <c r="E290" s="17">
        <f>E289+$M$13</f>
        <v>21450</v>
      </c>
      <c r="F290" s="17"/>
      <c r="G290" s="17">
        <f>G289</f>
        <v>675</v>
      </c>
      <c r="H290" s="17" t="str">
        <f t="shared" si="40"/>
        <v xml:space="preserve"> (list 21450 675 )</v>
      </c>
      <c r="I290" s="18" t="s">
        <v>38</v>
      </c>
      <c r="J290" s="18"/>
      <c r="K290" s="18"/>
    </row>
    <row r="291" spans="1:33" hidden="1" x14ac:dyDescent="0.25">
      <c r="A291" s="13">
        <f>VLOOKUP(D279-1,$D$7:$E$17,2)</f>
        <v>6000</v>
      </c>
      <c r="B291" s="8"/>
      <c r="C291" s="8">
        <f>VLOOKUP(D279+1,$D$7:$H$17,5)</f>
        <v>500</v>
      </c>
      <c r="D291" s="8"/>
      <c r="E291" s="19">
        <f>E288</f>
        <v>21250</v>
      </c>
      <c r="F291" s="19"/>
      <c r="G291" s="19">
        <f>$C$7+$C$14</f>
        <v>75</v>
      </c>
      <c r="H291" s="19" t="str">
        <f t="shared" si="40"/>
        <v xml:space="preserve"> (list 21250 75 )</v>
      </c>
      <c r="I291" s="19" t="s">
        <v>39</v>
      </c>
      <c r="J291" s="19"/>
      <c r="K291" s="19"/>
      <c r="U291" s="1" t="s">
        <v>84</v>
      </c>
      <c r="V291" s="1" t="s">
        <v>22</v>
      </c>
      <c r="W291" s="5" t="s">
        <v>23</v>
      </c>
      <c r="X291" s="1" t="s">
        <v>7</v>
      </c>
    </row>
    <row r="292" spans="1:33" hidden="1" x14ac:dyDescent="0.25">
      <c r="A292" s="13">
        <f>VLOOKUP(D279,$D$7:$H$17,2)</f>
        <v>6000</v>
      </c>
      <c r="B292" s="8"/>
      <c r="C292" s="8"/>
      <c r="D292" s="8"/>
      <c r="E292" s="19">
        <f>E291</f>
        <v>21250</v>
      </c>
      <c r="F292" s="19"/>
      <c r="G292" s="19">
        <f>G291-$M$12</f>
        <v>-225</v>
      </c>
      <c r="H292" s="19" t="str">
        <f t="shared" si="40"/>
        <v xml:space="preserve"> (list 21250 -225 )</v>
      </c>
      <c r="I292" s="19" t="s">
        <v>40</v>
      </c>
      <c r="J292" s="19"/>
      <c r="K292" s="19"/>
      <c r="U292" s="7" t="str">
        <f>IF($V$22&gt;(D279-1),CONCATENATE(U291,H291,H292,H293,V291,V291,W291,X291),"")</f>
        <v/>
      </c>
      <c r="AG292" s="45" t="str">
        <f t="shared" si="31"/>
        <v/>
      </c>
    </row>
    <row r="293" spans="1:33" hidden="1" x14ac:dyDescent="0.25">
      <c r="A293" s="13"/>
      <c r="B293" s="8"/>
      <c r="C293" s="8"/>
      <c r="D293" s="8"/>
      <c r="E293" s="19">
        <f>E292+$M$13</f>
        <v>21450</v>
      </c>
      <c r="F293" s="19"/>
      <c r="G293" s="19">
        <f>G292</f>
        <v>-225</v>
      </c>
      <c r="H293" s="19" t="str">
        <f t="shared" si="40"/>
        <v xml:space="preserve"> (list 21450 -225 )</v>
      </c>
      <c r="I293" s="19" t="s">
        <v>41</v>
      </c>
      <c r="J293" s="19"/>
      <c r="K293" s="19"/>
      <c r="U293" s="1" t="s">
        <v>82</v>
      </c>
      <c r="X293" s="1" t="s">
        <v>7</v>
      </c>
    </row>
    <row r="294" spans="1:33" hidden="1" x14ac:dyDescent="0.25">
      <c r="A294" s="13"/>
      <c r="B294" s="8"/>
      <c r="C294" s="8"/>
      <c r="D294" s="8"/>
      <c r="E294" s="20">
        <f>$B$7+$H$7/2+B289+C290/2</f>
        <v>18500</v>
      </c>
      <c r="F294" s="20"/>
      <c r="G294" s="20">
        <f>$C$7-$C$12</f>
        <v>-500</v>
      </c>
      <c r="H294" s="20" t="str">
        <f t="shared" si="40"/>
        <v xml:space="preserve"> (list 18500 -500 )</v>
      </c>
      <c r="I294" s="20" t="s">
        <v>33</v>
      </c>
      <c r="J294" s="20"/>
      <c r="K294" s="20"/>
      <c r="U294" s="9" t="str">
        <f>IF($V$22&gt;(D279-1),CONCATENATE(U293,H294,H295,H296,X293),"")</f>
        <v/>
      </c>
      <c r="AG294" s="45" t="str">
        <f t="shared" si="31"/>
        <v/>
      </c>
    </row>
    <row r="295" spans="1:33" hidden="1" x14ac:dyDescent="0.25">
      <c r="A295" s="13"/>
      <c r="B295" s="8"/>
      <c r="C295" s="8"/>
      <c r="D295" s="8"/>
      <c r="E295" s="20">
        <f>$B$7+$H$7/2+B290-C291/2</f>
        <v>24000</v>
      </c>
      <c r="F295" s="20"/>
      <c r="G295" s="20">
        <f>$C$7-$C$12</f>
        <v>-500</v>
      </c>
      <c r="H295" s="20" t="str">
        <f t="shared" si="40"/>
        <v xml:space="preserve"> (list 24000 -500 )</v>
      </c>
      <c r="I295" s="20" t="s">
        <v>34</v>
      </c>
      <c r="J295" s="20"/>
      <c r="K295" s="20"/>
      <c r="U295" s="1" t="s">
        <v>86</v>
      </c>
      <c r="V295" s="1" t="s">
        <v>27</v>
      </c>
      <c r="W295" s="1" t="s">
        <v>29</v>
      </c>
      <c r="X295" s="1" t="s">
        <v>28</v>
      </c>
      <c r="AA295" s="1" t="s">
        <v>30</v>
      </c>
      <c r="AB295" s="1" t="s">
        <v>31</v>
      </c>
    </row>
    <row r="296" spans="1:33" hidden="1" x14ac:dyDescent="0.25">
      <c r="A296" s="66" t="s">
        <v>29</v>
      </c>
      <c r="B296" s="8"/>
      <c r="C296" s="8"/>
      <c r="D296" s="8"/>
      <c r="E296" s="20">
        <f>E295</f>
        <v>24000</v>
      </c>
      <c r="F296" s="20"/>
      <c r="G296" s="20">
        <f>G295</f>
        <v>-500</v>
      </c>
      <c r="H296" s="20" t="str">
        <f t="shared" si="40"/>
        <v xml:space="preserve"> (list 24000 -500 )</v>
      </c>
      <c r="I296" s="20" t="s">
        <v>35</v>
      </c>
      <c r="J296" s="20"/>
      <c r="K296" s="20"/>
      <c r="U296" s="9" t="str">
        <f>IF($V$22&gt;(D279-1),CONCATENATE(U295,AA295,AB295,H297," ",V295,$M$15,V295,X295,W295,X293),"")</f>
        <v/>
      </c>
      <c r="AG296" s="45" t="str">
        <f t="shared" si="31"/>
        <v/>
      </c>
    </row>
    <row r="297" spans="1:33" hidden="1" x14ac:dyDescent="0.25">
      <c r="A297" s="13"/>
      <c r="B297" s="8"/>
      <c r="C297" s="8"/>
      <c r="D297" s="8"/>
      <c r="E297" s="20">
        <f>(E294+E295)/2</f>
        <v>21250</v>
      </c>
      <c r="F297" s="20"/>
      <c r="G297" s="20">
        <f>G296+$C$14</f>
        <v>-425</v>
      </c>
      <c r="H297" s="20" t="str">
        <f t="shared" si="40"/>
        <v xml:space="preserve"> (list 21250 -425 )</v>
      </c>
      <c r="I297" s="20" t="s">
        <v>117</v>
      </c>
      <c r="J297" s="20"/>
      <c r="K297" s="20"/>
    </row>
    <row r="298" spans="1:33" hidden="1" x14ac:dyDescent="0.25">
      <c r="A298" s="13"/>
      <c r="B298" s="8"/>
      <c r="C298" s="8"/>
      <c r="D298" s="8"/>
      <c r="E298" s="17">
        <f>E294+$C$15</f>
        <v>19000</v>
      </c>
      <c r="F298" s="17"/>
      <c r="G298" s="17">
        <f>G288+$C$14/2</f>
        <v>412.5</v>
      </c>
      <c r="H298" s="17" t="str">
        <f t="shared" si="40"/>
        <v xml:space="preserve"> (list 19000 412.5 )</v>
      </c>
      <c r="I298" s="17" t="s">
        <v>42</v>
      </c>
      <c r="J298" s="17"/>
      <c r="K298" s="17"/>
      <c r="U298" s="1" t="s">
        <v>79</v>
      </c>
      <c r="V298" s="1" t="s">
        <v>15</v>
      </c>
    </row>
    <row r="299" spans="1:33" hidden="1" x14ac:dyDescent="0.25">
      <c r="A299" s="13"/>
      <c r="B299" s="8"/>
      <c r="C299" s="8"/>
      <c r="D299" s="8"/>
      <c r="E299" s="17">
        <f>E294+$C$15</f>
        <v>19000</v>
      </c>
      <c r="F299" s="17"/>
      <c r="G299" s="17">
        <f>G291-$C$14/2</f>
        <v>37.5</v>
      </c>
      <c r="H299" s="17" t="str">
        <f t="shared" si="40"/>
        <v xml:space="preserve"> (list 19000 37.5 )</v>
      </c>
      <c r="I299" s="17" t="s">
        <v>43</v>
      </c>
      <c r="J299" s="17"/>
      <c r="K299" s="17"/>
      <c r="U299" s="10" t="str">
        <f>IF($V$22&gt;(D279-1),CONCATENATE($U$159,H298,H299,V298),"")</f>
        <v/>
      </c>
      <c r="AG299" s="45" t="str">
        <f t="shared" si="31"/>
        <v/>
      </c>
    </row>
    <row r="300" spans="1:33" hidden="1" x14ac:dyDescent="0.25">
      <c r="A300" s="13"/>
      <c r="B300" s="8"/>
      <c r="C300" s="8"/>
      <c r="D300" s="8"/>
      <c r="E300" s="17">
        <f>E298+200</f>
        <v>19200</v>
      </c>
      <c r="F300" s="17"/>
      <c r="G300" s="17">
        <f>G298</f>
        <v>412.5</v>
      </c>
      <c r="H300" s="17" t="str">
        <f t="shared" si="40"/>
        <v xml:space="preserve"> (list 19200 412.5 )</v>
      </c>
      <c r="I300" s="17" t="s">
        <v>44</v>
      </c>
      <c r="J300" s="17"/>
      <c r="K300" s="17"/>
      <c r="U300" s="10" t="str">
        <f>IF($V$22&gt;(D279-1),CONCATENATE($U$159,H300,H301,V298),"")</f>
        <v/>
      </c>
      <c r="AG300" s="45" t="str">
        <f t="shared" si="31"/>
        <v/>
      </c>
    </row>
    <row r="301" spans="1:33" hidden="1" x14ac:dyDescent="0.25">
      <c r="A301" s="13"/>
      <c r="B301" s="8"/>
      <c r="C301" s="8"/>
      <c r="D301" s="8"/>
      <c r="E301" s="17">
        <f>E299+200</f>
        <v>19200</v>
      </c>
      <c r="F301" s="17"/>
      <c r="G301" s="17">
        <f>G299</f>
        <v>37.5</v>
      </c>
      <c r="H301" s="17" t="str">
        <f t="shared" si="40"/>
        <v xml:space="preserve"> (list 19200 37.5 )</v>
      </c>
      <c r="I301" s="17" t="s">
        <v>45</v>
      </c>
      <c r="J301" s="17"/>
      <c r="K301" s="17"/>
    </row>
    <row r="302" spans="1:33" hidden="1" x14ac:dyDescent="0.25">
      <c r="A302" s="13"/>
      <c r="B302" s="8"/>
      <c r="C302" s="8"/>
      <c r="D302" s="8"/>
      <c r="E302" s="21" t="s">
        <v>21</v>
      </c>
      <c r="F302" s="21"/>
      <c r="G302" s="8"/>
      <c r="H302" s="8"/>
      <c r="I302" s="8"/>
      <c r="J302" s="8"/>
      <c r="K302" s="8"/>
      <c r="U302" s="1" t="s">
        <v>86</v>
      </c>
      <c r="V302" s="1" t="s">
        <v>27</v>
      </c>
      <c r="W302" s="1" t="s">
        <v>63</v>
      </c>
      <c r="X302" s="1" t="s">
        <v>28</v>
      </c>
      <c r="AA302" s="1" t="s">
        <v>30</v>
      </c>
      <c r="AB302" s="1" t="s">
        <v>32</v>
      </c>
    </row>
    <row r="303" spans="1:33" hidden="1" x14ac:dyDescent="0.25">
      <c r="A303" s="8" t="s">
        <v>62</v>
      </c>
      <c r="B303" s="8" t="s">
        <v>115</v>
      </c>
      <c r="C303" s="8"/>
      <c r="D303" s="8"/>
      <c r="E303" s="8">
        <f>E290+50</f>
        <v>21500</v>
      </c>
      <c r="F303" s="8"/>
      <c r="G303" s="8">
        <f>G290</f>
        <v>675</v>
      </c>
      <c r="H303" s="17" t="str">
        <f t="shared" ref="H303:H304" si="41">CONCATENATE(" (list ",E303," ",G303," ",")")</f>
        <v xml:space="preserve"> (list 21500 675 )</v>
      </c>
      <c r="I303" s="8" t="s">
        <v>113</v>
      </c>
      <c r="J303" s="8"/>
      <c r="K303" s="8"/>
      <c r="U303" s="6" t="str">
        <f>IF($V$22&gt;(D279-1),CONCATENATE(U302,AA302,AB302,H303," ",V302,$M$15,V302,X302,A303,X303),"")</f>
        <v/>
      </c>
      <c r="V303" s="1" t="s">
        <v>22</v>
      </c>
      <c r="W303" s="5" t="s">
        <v>23</v>
      </c>
      <c r="X303" s="1" t="s">
        <v>7</v>
      </c>
      <c r="AG303" s="45" t="str">
        <f t="shared" si="31"/>
        <v/>
      </c>
    </row>
    <row r="304" spans="1:33" hidden="1" x14ac:dyDescent="0.25">
      <c r="A304" s="8" t="s">
        <v>62</v>
      </c>
      <c r="B304" s="8" t="s">
        <v>116</v>
      </c>
      <c r="C304" s="8"/>
      <c r="D304" s="8"/>
      <c r="E304" s="8">
        <f>E293+50</f>
        <v>21500</v>
      </c>
      <c r="F304" s="8"/>
      <c r="G304" s="8">
        <f>G293</f>
        <v>-225</v>
      </c>
      <c r="H304" s="17" t="str">
        <f t="shared" si="41"/>
        <v xml:space="preserve"> (list 21500 -225 )</v>
      </c>
      <c r="I304" s="8" t="s">
        <v>114</v>
      </c>
      <c r="J304" s="8"/>
      <c r="K304" s="8"/>
      <c r="U304" s="6" t="str">
        <f>IF($V$22&gt;(D279-1),CONCATENATE(U302,AA302,AB302,H304," ",V302,$M$15,V302,X302,A304,X303),"")</f>
        <v/>
      </c>
      <c r="AD304" s="43"/>
      <c r="AG304" s="45" t="str">
        <f t="shared" si="31"/>
        <v/>
      </c>
    </row>
    <row r="305" spans="1:33" hidden="1" x14ac:dyDescent="0.25">
      <c r="A305" s="6"/>
      <c r="B305" s="6"/>
      <c r="C305" s="6"/>
      <c r="D305" s="6"/>
      <c r="E305" s="6"/>
      <c r="F305" s="6"/>
      <c r="G305" s="6"/>
      <c r="H305" s="102"/>
      <c r="I305" s="6"/>
      <c r="J305" s="6"/>
      <c r="K305" s="6"/>
      <c r="U305" s="6"/>
      <c r="AD305" s="43"/>
    </row>
    <row r="306" spans="1:33" ht="15" hidden="1" customHeight="1" x14ac:dyDescent="0.25">
      <c r="A306" s="91" t="s">
        <v>118</v>
      </c>
      <c r="B306" s="91">
        <f>$E$11</f>
        <v>0</v>
      </c>
      <c r="C306" s="8"/>
      <c r="D306" s="127" t="s">
        <v>131</v>
      </c>
      <c r="E306" s="8"/>
      <c r="F306" s="8"/>
      <c r="G306" s="8"/>
      <c r="H306" s="8"/>
      <c r="I306" s="8"/>
      <c r="J306" s="8"/>
      <c r="K306" s="8"/>
      <c r="U306" s="1" t="s">
        <v>81</v>
      </c>
      <c r="V306" s="1" t="s">
        <v>15</v>
      </c>
      <c r="AG306" s="90"/>
    </row>
    <row r="307" spans="1:33" ht="15" hidden="1" customHeight="1" x14ac:dyDescent="0.25">
      <c r="A307" s="91" t="s">
        <v>95</v>
      </c>
      <c r="B307" s="91">
        <f>B306/10</f>
        <v>0</v>
      </c>
      <c r="C307" s="8"/>
      <c r="D307" s="127"/>
      <c r="E307" s="92">
        <f>$B$7+$H$7/2+$G$10+$H$11/2+B307</f>
        <v>18250</v>
      </c>
      <c r="F307" s="92"/>
      <c r="G307" s="92">
        <f>$G$78</f>
        <v>150</v>
      </c>
      <c r="H307" s="92" t="str">
        <f t="shared" ref="H307:H310" si="42">CONCATENATE(" (list ",E307," ",G307," ",")")</f>
        <v xml:space="preserve"> (list 18250 150 )</v>
      </c>
      <c r="I307" s="92" t="s">
        <v>97</v>
      </c>
      <c r="J307" s="8"/>
      <c r="K307" s="8"/>
      <c r="U307" s="7" t="str">
        <f>CONCATENATE(U306,$M$10,V306)</f>
        <v>(command "color" 2 "")</v>
      </c>
      <c r="AG307" s="90" t="str">
        <f t="shared" ref="AG307" si="43">U307</f>
        <v>(command "color" 2 "")</v>
      </c>
    </row>
    <row r="308" spans="1:33" hidden="1" x14ac:dyDescent="0.25">
      <c r="A308" s="91" t="s">
        <v>96</v>
      </c>
      <c r="B308" s="91">
        <f>FLOOR(B306/3,1)</f>
        <v>0</v>
      </c>
      <c r="C308" s="8"/>
      <c r="D308" s="127"/>
      <c r="E308" s="92">
        <f>$B$7+$H$7/2+$G$11-$H$12/2-B307</f>
        <v>250</v>
      </c>
      <c r="F308" s="92"/>
      <c r="G308" s="92">
        <f>G307</f>
        <v>150</v>
      </c>
      <c r="H308" s="92" t="str">
        <f t="shared" si="42"/>
        <v xml:space="preserve"> (list 250 150 )</v>
      </c>
      <c r="I308" s="92" t="s">
        <v>98</v>
      </c>
      <c r="J308" s="8"/>
      <c r="K308" s="8"/>
      <c r="U308" s="1" t="s">
        <v>79</v>
      </c>
      <c r="V308" s="1" t="s">
        <v>15</v>
      </c>
      <c r="AG308" s="90"/>
    </row>
    <row r="309" spans="1:33" hidden="1" x14ac:dyDescent="0.25">
      <c r="A309" s="91" t="s">
        <v>103</v>
      </c>
      <c r="B309" s="91">
        <f>E308-E307</f>
        <v>-18000</v>
      </c>
      <c r="C309" s="8"/>
      <c r="D309" s="127"/>
      <c r="E309" s="20">
        <f>$B$7+$H$7/2+$G$10</f>
        <v>18250</v>
      </c>
      <c r="F309" s="20"/>
      <c r="G309" s="20">
        <f>$G$82</f>
        <v>300</v>
      </c>
      <c r="H309" s="20" t="str">
        <f t="shared" si="42"/>
        <v xml:space="preserve"> (list 18250 300 )</v>
      </c>
      <c r="I309" s="20" t="s">
        <v>100</v>
      </c>
      <c r="J309" s="8" t="s">
        <v>129</v>
      </c>
      <c r="K309" s="8"/>
      <c r="U309" s="62" t="str">
        <f>IF($V$22&gt;(D279-1),IF($I$8="Y",CONCATENATE($U$79,H307,H308,$V$79),""),"")</f>
        <v/>
      </c>
      <c r="AG309" s="90" t="str">
        <f t="shared" ref="AG309:AG311" si="44">U309</f>
        <v/>
      </c>
    </row>
    <row r="310" spans="1:33" hidden="1" x14ac:dyDescent="0.25">
      <c r="A310" s="91"/>
      <c r="B310" s="91"/>
      <c r="C310" s="8"/>
      <c r="D310" s="127"/>
      <c r="E310" s="20">
        <f>E309+B308</f>
        <v>18250</v>
      </c>
      <c r="F310" s="20"/>
      <c r="G310" s="20">
        <f>G309</f>
        <v>300</v>
      </c>
      <c r="H310" s="20" t="str">
        <f t="shared" si="42"/>
        <v xml:space="preserve"> (list 18250 300 )</v>
      </c>
      <c r="I310" s="20" t="s">
        <v>99</v>
      </c>
      <c r="J310" s="8"/>
      <c r="K310" s="8"/>
      <c r="U310" s="62" t="str">
        <f>IF($V$22&gt;(D279-1),IF($F$9="Y",CONCATENATE($U$79,H309,H310,$V$79),""),"")</f>
        <v/>
      </c>
      <c r="AG310" s="90" t="str">
        <f t="shared" si="44"/>
        <v/>
      </c>
    </row>
    <row r="311" spans="1:33" hidden="1" x14ac:dyDescent="0.25">
      <c r="A311" s="91"/>
      <c r="B311" s="91"/>
      <c r="C311" s="8"/>
      <c r="D311" s="127"/>
      <c r="E311" s="92">
        <f>E309+B306</f>
        <v>18250</v>
      </c>
      <c r="F311" s="92"/>
      <c r="G311" s="92">
        <f>G310</f>
        <v>300</v>
      </c>
      <c r="H311" s="92" t="str">
        <f>CONCATENATE(" (list ",E311," ",G311," ",")")</f>
        <v xml:space="preserve"> (list 18250 300 )</v>
      </c>
      <c r="I311" s="92" t="s">
        <v>132</v>
      </c>
      <c r="J311" s="8" t="s">
        <v>130</v>
      </c>
      <c r="K311" s="8"/>
      <c r="U311" s="62" t="str">
        <f>IF($V$22&gt;(D279-1),IF($F$10="Y",CONCATENATE($U$79,H311,H312,$V$79),""),"")</f>
        <v/>
      </c>
      <c r="AG311" s="90" t="str">
        <f t="shared" si="44"/>
        <v/>
      </c>
    </row>
    <row r="312" spans="1:33" hidden="1" x14ac:dyDescent="0.25">
      <c r="A312" s="91"/>
      <c r="B312" s="91"/>
      <c r="C312" s="8"/>
      <c r="D312" s="127"/>
      <c r="E312" s="92">
        <f>E311-B308</f>
        <v>18250</v>
      </c>
      <c r="F312" s="92"/>
      <c r="G312" s="92">
        <f>G310</f>
        <v>300</v>
      </c>
      <c r="H312" s="92" t="str">
        <f>CONCATENATE(" (list ",E312," ",G312," ",")")</f>
        <v xml:space="preserve"> (list 18250 300 )</v>
      </c>
      <c r="I312" s="92" t="s">
        <v>133</v>
      </c>
      <c r="J312" s="8"/>
      <c r="K312" s="8"/>
      <c r="U312" s="1" t="s">
        <v>81</v>
      </c>
      <c r="V312" s="1" t="s">
        <v>15</v>
      </c>
      <c r="AG312" s="90"/>
    </row>
    <row r="313" spans="1:33" hidden="1" x14ac:dyDescent="0.25">
      <c r="A313" s="100" t="s">
        <v>107</v>
      </c>
      <c r="B313" s="100"/>
      <c r="C313" s="17"/>
      <c r="D313" s="127"/>
      <c r="E313" s="93">
        <f>FLOOR(B309*2/3,1)+E307</f>
        <v>6250</v>
      </c>
      <c r="F313" s="93"/>
      <c r="G313" s="93">
        <f>G308</f>
        <v>150</v>
      </c>
      <c r="H313" s="93" t="str">
        <f t="shared" ref="H313:H320" si="45">CONCATENATE(" (list ",E313," ",G313," ",")")</f>
        <v xml:space="preserve"> (list 6250 150 )</v>
      </c>
      <c r="I313" s="93" t="s">
        <v>104</v>
      </c>
      <c r="J313" s="94"/>
      <c r="K313" s="95"/>
      <c r="U313" s="62" t="str">
        <f>CONCATENATE(U312,$M$11,V312)</f>
        <v>(command "color" 3 "")</v>
      </c>
      <c r="AG313" s="90" t="str">
        <f t="shared" ref="AG313" si="46">U313</f>
        <v>(command "color" 3 "")</v>
      </c>
    </row>
    <row r="314" spans="1:33" hidden="1" x14ac:dyDescent="0.25">
      <c r="A314" s="100" t="s">
        <v>108</v>
      </c>
      <c r="B314" s="100">
        <v>150</v>
      </c>
      <c r="C314" s="17"/>
      <c r="D314" s="127"/>
      <c r="E314" s="93">
        <f>E313+B314</f>
        <v>6400</v>
      </c>
      <c r="F314" s="93"/>
      <c r="G314" s="93">
        <f>G313+B315</f>
        <v>300</v>
      </c>
      <c r="H314" s="93" t="str">
        <f t="shared" si="45"/>
        <v xml:space="preserve"> (list 6400 300 )</v>
      </c>
      <c r="I314" s="93" t="s">
        <v>105</v>
      </c>
      <c r="J314" s="94"/>
      <c r="K314" s="95"/>
      <c r="U314" s="1" t="s">
        <v>84</v>
      </c>
      <c r="V314" s="1" t="s">
        <v>22</v>
      </c>
      <c r="W314" s="5" t="s">
        <v>23</v>
      </c>
      <c r="X314" s="1" t="s">
        <v>7</v>
      </c>
      <c r="AG314" s="90"/>
    </row>
    <row r="315" spans="1:33" hidden="1" x14ac:dyDescent="0.25">
      <c r="A315" s="100" t="s">
        <v>109</v>
      </c>
      <c r="B315" s="100">
        <v>150</v>
      </c>
      <c r="C315" s="17"/>
      <c r="D315" s="127"/>
      <c r="E315" s="93">
        <f>E314</f>
        <v>6400</v>
      </c>
      <c r="F315" s="93"/>
      <c r="G315" s="93">
        <f>G293</f>
        <v>-225</v>
      </c>
      <c r="H315" s="93" t="str">
        <f t="shared" si="45"/>
        <v xml:space="preserve"> (list 6400 -225 )</v>
      </c>
      <c r="I315" s="93" t="s">
        <v>106</v>
      </c>
      <c r="J315" s="94"/>
      <c r="K315" s="95"/>
      <c r="U315" s="62" t="str">
        <f>IF($V$22&gt;(D279-1),IF($F$8="Y",(CONCATENATE(U314,H313,H314,H315,H316,V314,V314,W314,X314)),""),"")</f>
        <v/>
      </c>
      <c r="AG315" s="90" t="str">
        <f>U315</f>
        <v/>
      </c>
    </row>
    <row r="316" spans="1:33" hidden="1" x14ac:dyDescent="0.25">
      <c r="A316" s="100"/>
      <c r="B316" s="100"/>
      <c r="C316" s="17"/>
      <c r="D316" s="127"/>
      <c r="E316" s="93">
        <f>E315+$M$13</f>
        <v>6600</v>
      </c>
      <c r="F316" s="93"/>
      <c r="G316" s="93">
        <f>G315</f>
        <v>-225</v>
      </c>
      <c r="H316" s="93" t="str">
        <f t="shared" si="45"/>
        <v xml:space="preserve"> (list 6600 -225 )</v>
      </c>
      <c r="I316" s="93" t="s">
        <v>110</v>
      </c>
      <c r="J316" s="94"/>
      <c r="K316" s="95"/>
      <c r="U316" s="1" t="s">
        <v>81</v>
      </c>
      <c r="V316" s="1" t="s">
        <v>15</v>
      </c>
      <c r="AG316" s="90"/>
    </row>
    <row r="317" spans="1:33" hidden="1" x14ac:dyDescent="0.25">
      <c r="A317" s="100"/>
      <c r="B317" s="100"/>
      <c r="C317" s="17"/>
      <c r="D317" s="127"/>
      <c r="E317" s="94">
        <f>E310-3*B314</f>
        <v>17800</v>
      </c>
      <c r="F317" s="94"/>
      <c r="G317" s="94">
        <f>G312</f>
        <v>300</v>
      </c>
      <c r="H317" s="94" t="str">
        <f t="shared" si="45"/>
        <v xml:space="preserve"> (list 17800 300 )</v>
      </c>
      <c r="I317" s="94" t="s">
        <v>122</v>
      </c>
      <c r="J317" s="96"/>
      <c r="K317" s="95"/>
      <c r="U317" s="62" t="str">
        <f>CONCATENATE(U316,$M$11,V316)</f>
        <v>(command "color" 3 "")</v>
      </c>
      <c r="AG317" s="90" t="str">
        <f>U317</f>
        <v>(command "color" 3 "")</v>
      </c>
    </row>
    <row r="318" spans="1:33" hidden="1" x14ac:dyDescent="0.25">
      <c r="A318" s="100"/>
      <c r="B318" s="100"/>
      <c r="C318" s="17"/>
      <c r="D318" s="127"/>
      <c r="E318" s="94">
        <f>E317+B314</f>
        <v>17950</v>
      </c>
      <c r="F318" s="94"/>
      <c r="G318" s="94">
        <f>G317-B315</f>
        <v>150</v>
      </c>
      <c r="H318" s="94" t="str">
        <f t="shared" si="45"/>
        <v xml:space="preserve"> (list 17950 150 )</v>
      </c>
      <c r="I318" s="94" t="s">
        <v>123</v>
      </c>
      <c r="J318" s="96"/>
      <c r="K318" s="95"/>
      <c r="U318" s="1" t="s">
        <v>84</v>
      </c>
      <c r="V318" s="1" t="s">
        <v>22</v>
      </c>
      <c r="W318" s="5" t="s">
        <v>23</v>
      </c>
      <c r="X318" s="1" t="s">
        <v>7</v>
      </c>
      <c r="AG318" s="90"/>
    </row>
    <row r="319" spans="1:33" hidden="1" x14ac:dyDescent="0.25">
      <c r="A319" s="100"/>
      <c r="B319" s="100"/>
      <c r="C319" s="17"/>
      <c r="D319" s="127"/>
      <c r="E319" s="94">
        <f>E318</f>
        <v>17950</v>
      </c>
      <c r="F319" s="94"/>
      <c r="G319" s="94">
        <f>G290</f>
        <v>675</v>
      </c>
      <c r="H319" s="94" t="str">
        <f t="shared" si="45"/>
        <v xml:space="preserve"> (list 17950 675 )</v>
      </c>
      <c r="I319" s="94" t="s">
        <v>124</v>
      </c>
      <c r="J319" s="96"/>
      <c r="K319" s="95"/>
      <c r="U319" s="62" t="str">
        <f>IF($V$22&gt;(D279-1),IF($I$8="Y",(CONCATENATE(U318,H317,H318,H319,H320,V318,V318,W318,X318)),""),"")</f>
        <v/>
      </c>
      <c r="AG319" s="90" t="str">
        <f>U319</f>
        <v/>
      </c>
    </row>
    <row r="320" spans="1:33" hidden="1" x14ac:dyDescent="0.25">
      <c r="A320" s="100"/>
      <c r="B320" s="100"/>
      <c r="C320" s="17"/>
      <c r="D320" s="127"/>
      <c r="E320" s="94">
        <f>E319+$M$13</f>
        <v>18150</v>
      </c>
      <c r="F320" s="94"/>
      <c r="G320" s="94">
        <f>G319</f>
        <v>675</v>
      </c>
      <c r="H320" s="94" t="str">
        <f t="shared" si="45"/>
        <v xml:space="preserve"> (list 18150 675 )</v>
      </c>
      <c r="I320" s="94" t="s">
        <v>125</v>
      </c>
      <c r="J320" s="96"/>
      <c r="K320" s="95"/>
      <c r="U320" s="1" t="s">
        <v>86</v>
      </c>
      <c r="V320" s="1" t="s">
        <v>27</v>
      </c>
      <c r="X320" s="1" t="s">
        <v>28</v>
      </c>
      <c r="Y320" s="1" t="s">
        <v>19</v>
      </c>
      <c r="AG320" s="90"/>
    </row>
    <row r="321" spans="1:33" hidden="1" x14ac:dyDescent="0.25">
      <c r="A321" s="100" t="s">
        <v>62</v>
      </c>
      <c r="B321" s="100" t="s">
        <v>127</v>
      </c>
      <c r="C321" s="17"/>
      <c r="D321" s="127"/>
      <c r="E321" s="93">
        <f>E316+25</f>
        <v>6625</v>
      </c>
      <c r="F321" s="93"/>
      <c r="G321" s="93">
        <f>G316-$M$15/2</f>
        <v>-275</v>
      </c>
      <c r="H321" s="93" t="str">
        <f>CONCATENATE(" (list ",E321," ",G321," ",")")</f>
        <v xml:space="preserve"> (list 6625 -275 )</v>
      </c>
      <c r="I321" s="93" t="s">
        <v>119</v>
      </c>
      <c r="J321" s="94"/>
      <c r="K321" s="95"/>
      <c r="U321" s="62" t="str">
        <f>IF($V$22&gt;(D279-1),IF($F$8="Y",CONCATENATE($U$90,H321," ",$V$90,M252,$V$90,$X$90,A321,$Y$90),""),"")</f>
        <v/>
      </c>
      <c r="AG321" s="90" t="str">
        <f>U321</f>
        <v/>
      </c>
    </row>
    <row r="322" spans="1:33" hidden="1" x14ac:dyDescent="0.25">
      <c r="A322" s="100" t="s">
        <v>62</v>
      </c>
      <c r="B322" s="100" t="s">
        <v>126</v>
      </c>
      <c r="C322" s="17"/>
      <c r="D322" s="127"/>
      <c r="E322" s="97">
        <f>E320+25</f>
        <v>18175</v>
      </c>
      <c r="F322" s="97"/>
      <c r="G322" s="97">
        <f>G320-$M$15/2</f>
        <v>625</v>
      </c>
      <c r="H322" s="97" t="str">
        <f>CONCATENATE(" (list ",E322," ",G322," ",")")</f>
        <v xml:space="preserve"> (list 18175 625 )</v>
      </c>
      <c r="I322" s="97" t="s">
        <v>120</v>
      </c>
      <c r="J322" s="98"/>
      <c r="K322" s="99"/>
      <c r="U322" s="62" t="str">
        <f>IF($V$22&gt;(D279-1),IF($I$8="Y",CONCATENATE(U320,H322," ",V320,M252,V320,X320,A322,Y320),""),"")</f>
        <v/>
      </c>
      <c r="AG322" s="90" t="str">
        <f>U322</f>
        <v/>
      </c>
    </row>
    <row r="323" spans="1:33" hidden="1" x14ac:dyDescent="0.25">
      <c r="A323" s="8"/>
      <c r="B323" s="8"/>
      <c r="C323" s="8"/>
      <c r="D323" s="8"/>
      <c r="E323" s="8"/>
      <c r="F323" s="8"/>
      <c r="G323" s="8"/>
      <c r="H323" s="17"/>
      <c r="I323" s="8"/>
      <c r="J323" s="8"/>
      <c r="K323" s="8"/>
      <c r="U323" s="35"/>
      <c r="AD323" s="43"/>
    </row>
    <row r="324" spans="1:33" hidden="1" x14ac:dyDescent="0.25"/>
    <row r="325" spans="1:33" ht="21" hidden="1" x14ac:dyDescent="0.35">
      <c r="A325" s="13"/>
      <c r="B325" s="13"/>
      <c r="C325" s="14"/>
      <c r="D325" s="103">
        <f>D279+1</f>
        <v>6</v>
      </c>
      <c r="E325" s="15">
        <f>$B$7+$H$7/2+B335+C336/2</f>
        <v>18500</v>
      </c>
      <c r="F325" s="15"/>
      <c r="G325" s="15">
        <f>$C$7-$C$12</f>
        <v>-500</v>
      </c>
      <c r="H325" s="15" t="str">
        <f t="shared" ref="H325:H332" si="47">CONCATENATE(" (list ",E325," ",G325," ",")")</f>
        <v xml:space="preserve"> (list 18500 -500 )</v>
      </c>
      <c r="I325" s="8" t="s">
        <v>47</v>
      </c>
      <c r="J325" s="8"/>
      <c r="K325" s="8"/>
      <c r="U325" s="1" t="s">
        <v>81</v>
      </c>
      <c r="V325" s="1" t="s">
        <v>15</v>
      </c>
    </row>
    <row r="326" spans="1:33" hidden="1" x14ac:dyDescent="0.25">
      <c r="A326" s="13"/>
      <c r="B326" s="13"/>
      <c r="C326" s="14"/>
      <c r="D326" s="8"/>
      <c r="E326" s="15">
        <f>E325</f>
        <v>18500</v>
      </c>
      <c r="F326" s="15"/>
      <c r="G326" s="15">
        <f>$C$7</f>
        <v>0</v>
      </c>
      <c r="H326" s="15" t="str">
        <f t="shared" si="47"/>
        <v xml:space="preserve"> (list 18500 0 )</v>
      </c>
      <c r="I326" s="8" t="s">
        <v>48</v>
      </c>
      <c r="J326" s="8"/>
      <c r="K326" s="8"/>
      <c r="U326" s="7" t="str">
        <f>CONCATENATE(U325,$M$9,V325)</f>
        <v>(command "color" 1 "")</v>
      </c>
      <c r="AG326" s="45" t="str">
        <f t="shared" si="31"/>
        <v>(command "color" 1 "")</v>
      </c>
    </row>
    <row r="327" spans="1:33" hidden="1" x14ac:dyDescent="0.25">
      <c r="A327" s="13"/>
      <c r="B327" s="13"/>
      <c r="C327" s="14"/>
      <c r="D327" s="8"/>
      <c r="E327" s="15">
        <f>$B$7+$H$7/2+B336-C337/2</f>
        <v>24000</v>
      </c>
      <c r="F327" s="15"/>
      <c r="G327" s="15">
        <f>G326</f>
        <v>0</v>
      </c>
      <c r="H327" s="15" t="str">
        <f t="shared" si="47"/>
        <v xml:space="preserve"> (list 24000 0 )</v>
      </c>
      <c r="I327" s="8" t="s">
        <v>49</v>
      </c>
      <c r="J327" s="8"/>
      <c r="K327" s="8"/>
      <c r="U327" s="1" t="s">
        <v>79</v>
      </c>
      <c r="V327" s="1" t="s">
        <v>15</v>
      </c>
    </row>
    <row r="328" spans="1:33" hidden="1" x14ac:dyDescent="0.25">
      <c r="A328" s="13"/>
      <c r="B328" s="13"/>
      <c r="C328" s="14"/>
      <c r="D328" s="8"/>
      <c r="E328" s="15">
        <f>$B$7+$H$7/2+B336-C337/2</f>
        <v>24000</v>
      </c>
      <c r="F328" s="15"/>
      <c r="G328" s="15">
        <f>G325</f>
        <v>-500</v>
      </c>
      <c r="H328" s="15" t="str">
        <f t="shared" si="47"/>
        <v xml:space="preserve"> (list 24000 -500 )</v>
      </c>
      <c r="I328" s="8" t="s">
        <v>50</v>
      </c>
      <c r="J328" s="8"/>
      <c r="K328" s="8"/>
      <c r="U328" s="9" t="str">
        <f>IF($V$22&gt;(D325-1),CONCATENATE(U327,H325,H326,H327,H328,V327),"")</f>
        <v/>
      </c>
      <c r="AG328" s="45" t="str">
        <f t="shared" si="31"/>
        <v/>
      </c>
    </row>
    <row r="329" spans="1:33" hidden="1" x14ac:dyDescent="0.25">
      <c r="A329" s="13"/>
      <c r="B329" s="13"/>
      <c r="C329" s="14"/>
      <c r="D329" s="8"/>
      <c r="E329" s="16">
        <f>E325</f>
        <v>18500</v>
      </c>
      <c r="F329" s="16"/>
      <c r="G329" s="16">
        <f>$C$7+$C$10+$C$12</f>
        <v>950</v>
      </c>
      <c r="H329" s="16" t="str">
        <f t="shared" si="47"/>
        <v xml:space="preserve"> (list 18500 950 )</v>
      </c>
      <c r="I329" s="8" t="s">
        <v>52</v>
      </c>
      <c r="J329" s="8"/>
      <c r="K329" s="8"/>
      <c r="U329" s="9" t="str">
        <f>IF($V$22&gt;(D325-1),CONCATENATE(U327,H329,H330,H331,H332,V327),"")</f>
        <v/>
      </c>
      <c r="AG329" s="45" t="str">
        <f t="shared" si="31"/>
        <v/>
      </c>
    </row>
    <row r="330" spans="1:33" hidden="1" x14ac:dyDescent="0.25">
      <c r="A330" s="13"/>
      <c r="B330" s="13"/>
      <c r="C330" s="14"/>
      <c r="D330" s="8"/>
      <c r="E330" s="16">
        <f>E326</f>
        <v>18500</v>
      </c>
      <c r="F330" s="16"/>
      <c r="G330" s="16">
        <f>$C$7+$C$10</f>
        <v>450</v>
      </c>
      <c r="H330" s="16" t="str">
        <f t="shared" si="47"/>
        <v xml:space="preserve"> (list 18500 450 )</v>
      </c>
      <c r="I330" s="8" t="s">
        <v>53</v>
      </c>
      <c r="J330" s="8"/>
      <c r="K330" s="8"/>
    </row>
    <row r="331" spans="1:33" hidden="1" x14ac:dyDescent="0.25">
      <c r="A331" s="13"/>
      <c r="B331" s="13"/>
      <c r="C331" s="14"/>
      <c r="D331" s="8"/>
      <c r="E331" s="16">
        <f>E327</f>
        <v>24000</v>
      </c>
      <c r="F331" s="16"/>
      <c r="G331" s="16">
        <f>G330</f>
        <v>450</v>
      </c>
      <c r="H331" s="16" t="str">
        <f t="shared" si="47"/>
        <v xml:space="preserve"> (list 24000 450 )</v>
      </c>
      <c r="I331" s="8" t="s">
        <v>54</v>
      </c>
      <c r="J331" s="8"/>
      <c r="K331" s="8"/>
    </row>
    <row r="332" spans="1:33" hidden="1" x14ac:dyDescent="0.25">
      <c r="A332" s="13"/>
      <c r="B332" s="13"/>
      <c r="C332" s="14"/>
      <c r="D332" s="8"/>
      <c r="E332" s="16">
        <f>E328</f>
        <v>24000</v>
      </c>
      <c r="F332" s="16"/>
      <c r="G332" s="16">
        <f>G329</f>
        <v>950</v>
      </c>
      <c r="H332" s="16" t="str">
        <f t="shared" si="47"/>
        <v xml:space="preserve"> (list 24000 950 )</v>
      </c>
      <c r="I332" s="8" t="s">
        <v>51</v>
      </c>
      <c r="J332" s="8"/>
      <c r="K332" s="8"/>
      <c r="U332" s="1" t="s">
        <v>81</v>
      </c>
      <c r="V332" s="1" t="s">
        <v>15</v>
      </c>
    </row>
    <row r="333" spans="1:33" hidden="1" x14ac:dyDescent="0.25">
      <c r="A333" s="13"/>
      <c r="B333" s="8"/>
      <c r="C333" s="8"/>
      <c r="D333" s="8"/>
      <c r="E333" s="8"/>
      <c r="F333" s="8"/>
      <c r="G333" s="8"/>
      <c r="H333" s="8"/>
      <c r="I333" s="8"/>
      <c r="J333" s="8"/>
      <c r="K333" s="8"/>
      <c r="U333" s="7" t="str">
        <f>CONCATENATE(U332,$M$11,V332)</f>
        <v>(command "color" 3 "")</v>
      </c>
      <c r="AG333" s="45" t="str">
        <f t="shared" si="31"/>
        <v>(command "color" 3 "")</v>
      </c>
    </row>
    <row r="334" spans="1:33" hidden="1" x14ac:dyDescent="0.25">
      <c r="A334" s="22" t="s">
        <v>3</v>
      </c>
      <c r="B334" s="22" t="s">
        <v>9</v>
      </c>
      <c r="C334" s="23" t="s">
        <v>0</v>
      </c>
      <c r="D334" s="8"/>
      <c r="E334" s="17">
        <f>(E330+E331)/2</f>
        <v>21250</v>
      </c>
      <c r="F334" s="17"/>
      <c r="G334" s="17">
        <f>$C$7+$C$10-$C$14</f>
        <v>375</v>
      </c>
      <c r="H334" s="17" t="str">
        <f t="shared" ref="H334:H347" si="48">CONCATENATE(" (list ",E334," ",G334," ",")")</f>
        <v xml:space="preserve"> (list 21250 375 )</v>
      </c>
      <c r="I334" s="18" t="s">
        <v>36</v>
      </c>
      <c r="J334" s="18"/>
      <c r="K334" s="18"/>
      <c r="U334" s="1" t="s">
        <v>84</v>
      </c>
      <c r="V334" s="1" t="s">
        <v>22</v>
      </c>
      <c r="W334" s="5" t="s">
        <v>23</v>
      </c>
      <c r="X334" s="1" t="s">
        <v>7</v>
      </c>
    </row>
    <row r="335" spans="1:33" hidden="1" x14ac:dyDescent="0.25">
      <c r="A335" s="13"/>
      <c r="B335" s="8">
        <f>VLOOKUP(D325-1,$D$7:$H$17,4)</f>
        <v>18000</v>
      </c>
      <c r="C335" s="8"/>
      <c r="D335" s="8"/>
      <c r="E335" s="17">
        <f>E334</f>
        <v>21250</v>
      </c>
      <c r="F335" s="17"/>
      <c r="G335" s="17">
        <f>G334+$M$12</f>
        <v>675</v>
      </c>
      <c r="H335" s="17" t="str">
        <f t="shared" si="48"/>
        <v xml:space="preserve"> (list 21250 675 )</v>
      </c>
      <c r="I335" s="18" t="s">
        <v>37</v>
      </c>
      <c r="J335" s="18"/>
      <c r="K335" s="18"/>
      <c r="U335" s="7" t="str">
        <f>IF($V$22&gt;(D325-1),CONCATENATE(U334,H334,H335,H336,V334,V334,W334,X334),"")</f>
        <v/>
      </c>
      <c r="AG335" s="45" t="str">
        <f t="shared" si="31"/>
        <v/>
      </c>
    </row>
    <row r="336" spans="1:33" hidden="1" x14ac:dyDescent="0.25">
      <c r="A336" s="13"/>
      <c r="B336" s="8">
        <f>B335+A338</f>
        <v>24000</v>
      </c>
      <c r="C336" s="8">
        <f>VLOOKUP(D325,$D$7:$H$17,5)</f>
        <v>500</v>
      </c>
      <c r="D336" s="8"/>
      <c r="E336" s="17">
        <f>E335+$M$13</f>
        <v>21450</v>
      </c>
      <c r="F336" s="17"/>
      <c r="G336" s="17">
        <f>G335</f>
        <v>675</v>
      </c>
      <c r="H336" s="17" t="str">
        <f t="shared" si="48"/>
        <v xml:space="preserve"> (list 21450 675 )</v>
      </c>
      <c r="I336" s="18" t="s">
        <v>38</v>
      </c>
      <c r="J336" s="18"/>
      <c r="K336" s="18"/>
    </row>
    <row r="337" spans="1:33" hidden="1" x14ac:dyDescent="0.25">
      <c r="A337" s="13">
        <f>VLOOKUP(D325-1,$D$7:$E$17,2)</f>
        <v>6000</v>
      </c>
      <c r="B337" s="8"/>
      <c r="C337" s="8">
        <f>VLOOKUP(D325+1,$D$7:$H$17,5)</f>
        <v>500</v>
      </c>
      <c r="D337" s="8"/>
      <c r="E337" s="19">
        <f>E334</f>
        <v>21250</v>
      </c>
      <c r="F337" s="19"/>
      <c r="G337" s="19">
        <f>$C$7+$C$14</f>
        <v>75</v>
      </c>
      <c r="H337" s="19" t="str">
        <f t="shared" si="48"/>
        <v xml:space="preserve"> (list 21250 75 )</v>
      </c>
      <c r="I337" s="19" t="s">
        <v>39</v>
      </c>
      <c r="J337" s="19"/>
      <c r="K337" s="19"/>
      <c r="U337" s="1" t="s">
        <v>84</v>
      </c>
      <c r="V337" s="1" t="s">
        <v>22</v>
      </c>
      <c r="W337" s="5" t="s">
        <v>23</v>
      </c>
      <c r="X337" s="1" t="s">
        <v>7</v>
      </c>
    </row>
    <row r="338" spans="1:33" hidden="1" x14ac:dyDescent="0.25">
      <c r="A338" s="13">
        <f>VLOOKUP(D325,$D$7:$H$17,2)</f>
        <v>6000</v>
      </c>
      <c r="B338" s="8"/>
      <c r="C338" s="8"/>
      <c r="D338" s="8"/>
      <c r="E338" s="19">
        <f>E337</f>
        <v>21250</v>
      </c>
      <c r="F338" s="19"/>
      <c r="G338" s="19">
        <f>G337-$M$12</f>
        <v>-225</v>
      </c>
      <c r="H338" s="19" t="str">
        <f t="shared" si="48"/>
        <v xml:space="preserve"> (list 21250 -225 )</v>
      </c>
      <c r="I338" s="19" t="s">
        <v>40</v>
      </c>
      <c r="J338" s="19"/>
      <c r="K338" s="19"/>
      <c r="U338" s="7" t="str">
        <f>IF($V$22&gt;(D325-1),CONCATENATE(U337,H337,H338,H339,V337,V337,W337,X337),"")</f>
        <v/>
      </c>
      <c r="AG338" s="45" t="str">
        <f t="shared" ref="AG338:AG438" si="49">U338</f>
        <v/>
      </c>
    </row>
    <row r="339" spans="1:33" hidden="1" x14ac:dyDescent="0.25">
      <c r="A339" s="13"/>
      <c r="B339" s="8"/>
      <c r="C339" s="8"/>
      <c r="D339" s="8"/>
      <c r="E339" s="19">
        <f>E338+$M$13</f>
        <v>21450</v>
      </c>
      <c r="F339" s="19"/>
      <c r="G339" s="19">
        <f>G338</f>
        <v>-225</v>
      </c>
      <c r="H339" s="19" t="str">
        <f t="shared" si="48"/>
        <v xml:space="preserve"> (list 21450 -225 )</v>
      </c>
      <c r="I339" s="19" t="s">
        <v>41</v>
      </c>
      <c r="J339" s="19"/>
      <c r="K339" s="19"/>
      <c r="U339" s="1" t="s">
        <v>82</v>
      </c>
      <c r="X339" s="1" t="s">
        <v>7</v>
      </c>
    </row>
    <row r="340" spans="1:33" hidden="1" x14ac:dyDescent="0.25">
      <c r="A340" s="13"/>
      <c r="B340" s="8"/>
      <c r="C340" s="8"/>
      <c r="D340" s="8"/>
      <c r="E340" s="20">
        <f>$B$7+$H$7/2+B335+C336/2</f>
        <v>18500</v>
      </c>
      <c r="F340" s="20"/>
      <c r="G340" s="20">
        <f>$C$7-$C$12</f>
        <v>-500</v>
      </c>
      <c r="H340" s="20" t="str">
        <f t="shared" si="48"/>
        <v xml:space="preserve"> (list 18500 -500 )</v>
      </c>
      <c r="I340" s="20" t="s">
        <v>33</v>
      </c>
      <c r="J340" s="20"/>
      <c r="K340" s="20"/>
      <c r="U340" s="9" t="str">
        <f>IF($V$22&gt;(D325-1),CONCATENATE(U339,H340,H341,H342,X339),"")</f>
        <v/>
      </c>
      <c r="AG340" s="45" t="str">
        <f t="shared" si="49"/>
        <v/>
      </c>
    </row>
    <row r="341" spans="1:33" hidden="1" x14ac:dyDescent="0.25">
      <c r="A341" s="13"/>
      <c r="B341" s="8"/>
      <c r="C341" s="8"/>
      <c r="D341" s="8"/>
      <c r="E341" s="20">
        <f>$B$7+$H$7/2+B336-C337/2</f>
        <v>24000</v>
      </c>
      <c r="F341" s="20"/>
      <c r="G341" s="20">
        <f>$C$7-$C$12</f>
        <v>-500</v>
      </c>
      <c r="H341" s="20" t="str">
        <f t="shared" si="48"/>
        <v xml:space="preserve"> (list 24000 -500 )</v>
      </c>
      <c r="I341" s="20" t="s">
        <v>34</v>
      </c>
      <c r="J341" s="20"/>
      <c r="K341" s="20"/>
      <c r="U341" s="1" t="s">
        <v>86</v>
      </c>
      <c r="V341" s="1" t="s">
        <v>27</v>
      </c>
      <c r="W341" s="1" t="s">
        <v>29</v>
      </c>
      <c r="X341" s="1" t="s">
        <v>28</v>
      </c>
      <c r="AA341" s="1" t="s">
        <v>30</v>
      </c>
      <c r="AB341" s="1" t="s">
        <v>31</v>
      </c>
    </row>
    <row r="342" spans="1:33" hidden="1" x14ac:dyDescent="0.25">
      <c r="A342" s="66" t="s">
        <v>29</v>
      </c>
      <c r="B342" s="8"/>
      <c r="C342" s="8"/>
      <c r="D342" s="8"/>
      <c r="E342" s="20">
        <f>E341</f>
        <v>24000</v>
      </c>
      <c r="F342" s="20"/>
      <c r="G342" s="20">
        <f>G341</f>
        <v>-500</v>
      </c>
      <c r="H342" s="20" t="str">
        <f t="shared" si="48"/>
        <v xml:space="preserve"> (list 24000 -500 )</v>
      </c>
      <c r="I342" s="20" t="s">
        <v>35</v>
      </c>
      <c r="J342" s="20"/>
      <c r="K342" s="20"/>
      <c r="U342" s="9" t="str">
        <f>IF($V$22&gt;(D325-1),CONCATENATE(U341,AA341,AB341,H343," ",V341,$M$15,V341,X341,W341,X339),"")</f>
        <v/>
      </c>
      <c r="AG342" s="45" t="str">
        <f t="shared" si="49"/>
        <v/>
      </c>
    </row>
    <row r="343" spans="1:33" hidden="1" x14ac:dyDescent="0.25">
      <c r="A343" s="13"/>
      <c r="B343" s="8"/>
      <c r="C343" s="8"/>
      <c r="D343" s="8"/>
      <c r="E343" s="20">
        <f>(E340+E341)/2</f>
        <v>21250</v>
      </c>
      <c r="F343" s="20"/>
      <c r="G343" s="20">
        <f>G342+$C$14</f>
        <v>-425</v>
      </c>
      <c r="H343" s="20" t="str">
        <f t="shared" si="48"/>
        <v xml:space="preserve"> (list 21250 -425 )</v>
      </c>
      <c r="I343" s="20" t="s">
        <v>117</v>
      </c>
      <c r="J343" s="20"/>
      <c r="K343" s="20"/>
    </row>
    <row r="344" spans="1:33" hidden="1" x14ac:dyDescent="0.25">
      <c r="A344" s="13"/>
      <c r="B344" s="8"/>
      <c r="C344" s="8"/>
      <c r="D344" s="8"/>
      <c r="E344" s="17">
        <f>E340+$C$15</f>
        <v>19000</v>
      </c>
      <c r="F344" s="17"/>
      <c r="G344" s="17">
        <f>G334+$C$14/2</f>
        <v>412.5</v>
      </c>
      <c r="H344" s="17" t="str">
        <f t="shared" si="48"/>
        <v xml:space="preserve"> (list 19000 412.5 )</v>
      </c>
      <c r="I344" s="17" t="s">
        <v>42</v>
      </c>
      <c r="J344" s="17"/>
      <c r="K344" s="17"/>
      <c r="U344" s="1" t="s">
        <v>79</v>
      </c>
      <c r="V344" s="1" t="s">
        <v>15</v>
      </c>
    </row>
    <row r="345" spans="1:33" hidden="1" x14ac:dyDescent="0.25">
      <c r="A345" s="13"/>
      <c r="B345" s="8"/>
      <c r="C345" s="8"/>
      <c r="D345" s="8"/>
      <c r="E345" s="17">
        <f>E340+$C$15</f>
        <v>19000</v>
      </c>
      <c r="F345" s="17"/>
      <c r="G345" s="17">
        <f>G337-$C$14/2</f>
        <v>37.5</v>
      </c>
      <c r="H345" s="17" t="str">
        <f t="shared" si="48"/>
        <v xml:space="preserve"> (list 19000 37.5 )</v>
      </c>
      <c r="I345" s="17" t="s">
        <v>43</v>
      </c>
      <c r="J345" s="17"/>
      <c r="K345" s="17"/>
      <c r="U345" s="10" t="str">
        <f>IF($V$22&gt;(D325-1),CONCATENATE($U$159,H344,H345,V344),"")</f>
        <v/>
      </c>
      <c r="AG345" s="45" t="str">
        <f t="shared" si="49"/>
        <v/>
      </c>
    </row>
    <row r="346" spans="1:33" hidden="1" x14ac:dyDescent="0.25">
      <c r="A346" s="13"/>
      <c r="B346" s="8"/>
      <c r="C346" s="8"/>
      <c r="D346" s="8"/>
      <c r="E346" s="17">
        <f>E344+200</f>
        <v>19200</v>
      </c>
      <c r="F346" s="17"/>
      <c r="G346" s="17">
        <f>G344</f>
        <v>412.5</v>
      </c>
      <c r="H346" s="17" t="str">
        <f t="shared" si="48"/>
        <v xml:space="preserve"> (list 19200 412.5 )</v>
      </c>
      <c r="I346" s="17" t="s">
        <v>44</v>
      </c>
      <c r="J346" s="17"/>
      <c r="K346" s="17"/>
      <c r="U346" s="10" t="str">
        <f>IF($V$22&gt;(D325-1),CONCATENATE($U$159,H346,H347,V344),"")</f>
        <v/>
      </c>
      <c r="AG346" s="45" t="str">
        <f t="shared" si="49"/>
        <v/>
      </c>
    </row>
    <row r="347" spans="1:33" hidden="1" x14ac:dyDescent="0.25">
      <c r="A347" s="13"/>
      <c r="B347" s="8"/>
      <c r="C347" s="8"/>
      <c r="D347" s="8"/>
      <c r="E347" s="17">
        <f>E345+200</f>
        <v>19200</v>
      </c>
      <c r="F347" s="17"/>
      <c r="G347" s="17">
        <f>G345</f>
        <v>37.5</v>
      </c>
      <c r="H347" s="17" t="str">
        <f t="shared" si="48"/>
        <v xml:space="preserve"> (list 19200 37.5 )</v>
      </c>
      <c r="I347" s="17" t="s">
        <v>45</v>
      </c>
      <c r="J347" s="17"/>
      <c r="K347" s="17"/>
    </row>
    <row r="348" spans="1:33" hidden="1" x14ac:dyDescent="0.25">
      <c r="A348" s="13"/>
      <c r="B348" s="8"/>
      <c r="C348" s="8"/>
      <c r="D348" s="8"/>
      <c r="E348" s="21" t="s">
        <v>21</v>
      </c>
      <c r="F348" s="21"/>
      <c r="G348" s="8"/>
      <c r="H348" s="8"/>
      <c r="I348" s="8"/>
      <c r="J348" s="8"/>
      <c r="K348" s="8"/>
      <c r="U348" s="1" t="s">
        <v>86</v>
      </c>
      <c r="V348" s="1" t="s">
        <v>27</v>
      </c>
      <c r="W348" s="1" t="s">
        <v>63</v>
      </c>
      <c r="X348" s="1" t="s">
        <v>28</v>
      </c>
      <c r="AA348" s="1" t="s">
        <v>30</v>
      </c>
      <c r="AB348" s="1" t="s">
        <v>32</v>
      </c>
    </row>
    <row r="349" spans="1:33" hidden="1" x14ac:dyDescent="0.25">
      <c r="A349" s="8" t="s">
        <v>62</v>
      </c>
      <c r="B349" s="8" t="s">
        <v>115</v>
      </c>
      <c r="C349" s="8"/>
      <c r="D349" s="8"/>
      <c r="E349" s="8">
        <f>E336+50</f>
        <v>21500</v>
      </c>
      <c r="F349" s="8"/>
      <c r="G349" s="8">
        <f>G336</f>
        <v>675</v>
      </c>
      <c r="H349" s="17" t="str">
        <f t="shared" ref="H349:H350" si="50">CONCATENATE(" (list ",E349," ",G349," ",")")</f>
        <v xml:space="preserve"> (list 21500 675 )</v>
      </c>
      <c r="I349" s="8" t="s">
        <v>113</v>
      </c>
      <c r="J349" s="8"/>
      <c r="K349" s="8"/>
      <c r="U349" s="6" t="str">
        <f>IF($V$22&gt;(D325-1),CONCATENATE(U348,AA348,AB348,H349," ",V348,$M$15,V348,X348,A349,X349),"")</f>
        <v/>
      </c>
      <c r="V349" s="1" t="s">
        <v>22</v>
      </c>
      <c r="W349" s="5" t="s">
        <v>23</v>
      </c>
      <c r="X349" s="1" t="s">
        <v>7</v>
      </c>
      <c r="AG349" s="45" t="str">
        <f t="shared" si="49"/>
        <v/>
      </c>
    </row>
    <row r="350" spans="1:33" hidden="1" x14ac:dyDescent="0.25">
      <c r="A350" s="8" t="s">
        <v>62</v>
      </c>
      <c r="B350" s="8" t="s">
        <v>116</v>
      </c>
      <c r="C350" s="8"/>
      <c r="D350" s="8"/>
      <c r="E350" s="8">
        <f>E339+50</f>
        <v>21500</v>
      </c>
      <c r="F350" s="8"/>
      <c r="G350" s="8">
        <f>G339</f>
        <v>-225</v>
      </c>
      <c r="H350" s="17" t="str">
        <f t="shared" si="50"/>
        <v xml:space="preserve"> (list 21500 -225 )</v>
      </c>
      <c r="I350" s="8" t="s">
        <v>114</v>
      </c>
      <c r="J350" s="8"/>
      <c r="K350" s="8"/>
      <c r="U350" s="6" t="str">
        <f>IF($V$22&gt;(D325-1),CONCATENATE(U348,AA348,AB348,H350," ",V348,$M$15,V348,X348,A350,X349),"")</f>
        <v/>
      </c>
      <c r="AD350" s="43"/>
      <c r="AG350" s="45" t="str">
        <f t="shared" si="49"/>
        <v/>
      </c>
    </row>
    <row r="351" spans="1:33" hidden="1" x14ac:dyDescent="0.25">
      <c r="A351" s="6"/>
      <c r="B351" s="6"/>
      <c r="C351" s="6"/>
      <c r="D351" s="6"/>
      <c r="E351" s="6"/>
      <c r="F351" s="6"/>
      <c r="G351" s="6"/>
      <c r="H351" s="102"/>
      <c r="I351" s="6"/>
      <c r="J351" s="6"/>
      <c r="K351" s="6"/>
      <c r="U351" s="6"/>
      <c r="AD351" s="43"/>
    </row>
    <row r="352" spans="1:33" ht="15" hidden="1" customHeight="1" x14ac:dyDescent="0.25">
      <c r="A352" s="91" t="s">
        <v>118</v>
      </c>
      <c r="B352" s="91">
        <f>$E$12</f>
        <v>0</v>
      </c>
      <c r="C352" s="8"/>
      <c r="D352" s="127" t="s">
        <v>131</v>
      </c>
      <c r="E352" s="8"/>
      <c r="F352" s="8"/>
      <c r="G352" s="8"/>
      <c r="H352" s="8"/>
      <c r="I352" s="8"/>
      <c r="J352" s="8"/>
      <c r="K352" s="8"/>
      <c r="U352" s="1" t="s">
        <v>81</v>
      </c>
      <c r="V352" s="1" t="s">
        <v>15</v>
      </c>
      <c r="AG352" s="90"/>
    </row>
    <row r="353" spans="1:33" ht="15" hidden="1" customHeight="1" x14ac:dyDescent="0.25">
      <c r="A353" s="91" t="s">
        <v>95</v>
      </c>
      <c r="B353" s="91">
        <f>B352/10</f>
        <v>0</v>
      </c>
      <c r="C353" s="8"/>
      <c r="D353" s="127"/>
      <c r="E353" s="92">
        <f>$B$7+$H$7/2+$G$11+$H$12/2+B353</f>
        <v>250</v>
      </c>
      <c r="F353" s="92"/>
      <c r="G353" s="92">
        <f>$G$78</f>
        <v>150</v>
      </c>
      <c r="H353" s="92" t="str">
        <f t="shared" ref="H353:H356" si="51">CONCATENATE(" (list ",E353," ",G353," ",")")</f>
        <v xml:space="preserve"> (list 250 150 )</v>
      </c>
      <c r="I353" s="92" t="s">
        <v>97</v>
      </c>
      <c r="J353" s="8"/>
      <c r="K353" s="8"/>
      <c r="U353" s="7" t="str">
        <f>CONCATENATE(U352,$M$10,V352)</f>
        <v>(command "color" 2 "")</v>
      </c>
      <c r="AG353" s="90" t="str">
        <f t="shared" ref="AG353" si="52">U353</f>
        <v>(command "color" 2 "")</v>
      </c>
    </row>
    <row r="354" spans="1:33" hidden="1" x14ac:dyDescent="0.25">
      <c r="A354" s="91" t="s">
        <v>96</v>
      </c>
      <c r="B354" s="91">
        <f>FLOOR(B352/3,1)</f>
        <v>0</v>
      </c>
      <c r="C354" s="8"/>
      <c r="D354" s="127"/>
      <c r="E354" s="92">
        <f>$B$7+$H$7/2+$G$12-$H$13/2-B353</f>
        <v>250</v>
      </c>
      <c r="F354" s="92"/>
      <c r="G354" s="92">
        <f>G353</f>
        <v>150</v>
      </c>
      <c r="H354" s="92" t="str">
        <f t="shared" si="51"/>
        <v xml:space="preserve"> (list 250 150 )</v>
      </c>
      <c r="I354" s="92" t="s">
        <v>98</v>
      </c>
      <c r="J354" s="8"/>
      <c r="K354" s="8"/>
      <c r="U354" s="1" t="s">
        <v>79</v>
      </c>
      <c r="V354" s="1" t="s">
        <v>15</v>
      </c>
      <c r="AG354" s="90"/>
    </row>
    <row r="355" spans="1:33" hidden="1" x14ac:dyDescent="0.25">
      <c r="A355" s="91" t="s">
        <v>103</v>
      </c>
      <c r="B355" s="91">
        <f>E354-E353</f>
        <v>0</v>
      </c>
      <c r="C355" s="8"/>
      <c r="D355" s="127"/>
      <c r="E355" s="20">
        <f>$B$7+$H$7/2+$G$11</f>
        <v>250</v>
      </c>
      <c r="F355" s="20"/>
      <c r="G355" s="20">
        <f>$G$82</f>
        <v>300</v>
      </c>
      <c r="H355" s="20" t="str">
        <f t="shared" si="51"/>
        <v xml:space="preserve"> (list 250 300 )</v>
      </c>
      <c r="I355" s="20" t="s">
        <v>100</v>
      </c>
      <c r="J355" s="8" t="s">
        <v>129</v>
      </c>
      <c r="K355" s="8"/>
      <c r="U355" s="62" t="str">
        <f>IF($V$22&gt;(D325-1),IF($I$8="Y",CONCATENATE($U$79,H353,H354,$V$79),""),"")</f>
        <v/>
      </c>
      <c r="AG355" s="90" t="str">
        <f t="shared" ref="AG355:AG357" si="53">U355</f>
        <v/>
      </c>
    </row>
    <row r="356" spans="1:33" hidden="1" x14ac:dyDescent="0.25">
      <c r="A356" s="91"/>
      <c r="B356" s="91"/>
      <c r="C356" s="8"/>
      <c r="D356" s="127"/>
      <c r="E356" s="20">
        <f>E355+B354</f>
        <v>250</v>
      </c>
      <c r="F356" s="20"/>
      <c r="G356" s="20">
        <f>G355</f>
        <v>300</v>
      </c>
      <c r="H356" s="20" t="str">
        <f t="shared" si="51"/>
        <v xml:space="preserve"> (list 250 300 )</v>
      </c>
      <c r="I356" s="20" t="s">
        <v>99</v>
      </c>
      <c r="J356" s="8"/>
      <c r="K356" s="8"/>
      <c r="U356" s="62" t="str">
        <f>IF($V$22&gt;(D325-1),IF($F$9="Y",CONCATENATE($U$79,H355,H356,$V$79),""),"")</f>
        <v/>
      </c>
      <c r="AG356" s="90" t="str">
        <f t="shared" si="53"/>
        <v/>
      </c>
    </row>
    <row r="357" spans="1:33" hidden="1" x14ac:dyDescent="0.25">
      <c r="A357" s="91"/>
      <c r="B357" s="91"/>
      <c r="C357" s="8"/>
      <c r="D357" s="127"/>
      <c r="E357" s="92">
        <f>E355+B352</f>
        <v>250</v>
      </c>
      <c r="F357" s="92"/>
      <c r="G357" s="92">
        <f>G356</f>
        <v>300</v>
      </c>
      <c r="H357" s="92" t="str">
        <f>CONCATENATE(" (list ",E357," ",G357," ",")")</f>
        <v xml:space="preserve"> (list 250 300 )</v>
      </c>
      <c r="I357" s="92" t="s">
        <v>132</v>
      </c>
      <c r="J357" s="8" t="s">
        <v>130</v>
      </c>
      <c r="K357" s="8"/>
      <c r="U357" s="62" t="str">
        <f>IF($V$22&gt;(D325-1),IF($F$10="Y",CONCATENATE($U$79,H357,H358,$V$79),""),"")</f>
        <v/>
      </c>
      <c r="AG357" s="90" t="str">
        <f t="shared" si="53"/>
        <v/>
      </c>
    </row>
    <row r="358" spans="1:33" hidden="1" x14ac:dyDescent="0.25">
      <c r="A358" s="91"/>
      <c r="B358" s="91"/>
      <c r="C358" s="8"/>
      <c r="D358" s="127"/>
      <c r="E358" s="92">
        <f>E357-B354</f>
        <v>250</v>
      </c>
      <c r="F358" s="92"/>
      <c r="G358" s="92">
        <f>G356</f>
        <v>300</v>
      </c>
      <c r="H358" s="92" t="str">
        <f>CONCATENATE(" (list ",E358," ",G358," ",")")</f>
        <v xml:space="preserve"> (list 250 300 )</v>
      </c>
      <c r="I358" s="92" t="s">
        <v>133</v>
      </c>
      <c r="J358" s="8"/>
      <c r="K358" s="8"/>
      <c r="U358" s="1" t="s">
        <v>81</v>
      </c>
      <c r="V358" s="1" t="s">
        <v>15</v>
      </c>
      <c r="AG358" s="90"/>
    </row>
    <row r="359" spans="1:33" hidden="1" x14ac:dyDescent="0.25">
      <c r="A359" s="100" t="s">
        <v>107</v>
      </c>
      <c r="B359" s="100"/>
      <c r="C359" s="17"/>
      <c r="D359" s="127"/>
      <c r="E359" s="93">
        <f>FLOOR(B355*2/3,1)+E353</f>
        <v>250</v>
      </c>
      <c r="F359" s="93"/>
      <c r="G359" s="93">
        <f>G354</f>
        <v>150</v>
      </c>
      <c r="H359" s="93" t="str">
        <f t="shared" ref="H359:H366" si="54">CONCATENATE(" (list ",E359," ",G359," ",")")</f>
        <v xml:space="preserve"> (list 250 150 )</v>
      </c>
      <c r="I359" s="93" t="s">
        <v>104</v>
      </c>
      <c r="J359" s="94"/>
      <c r="K359" s="95"/>
      <c r="U359" s="62" t="str">
        <f>CONCATENATE(U358,$M$11,V358)</f>
        <v>(command "color" 3 "")</v>
      </c>
      <c r="AG359" s="90" t="str">
        <f t="shared" ref="AG359" si="55">U359</f>
        <v>(command "color" 3 "")</v>
      </c>
    </row>
    <row r="360" spans="1:33" hidden="1" x14ac:dyDescent="0.25">
      <c r="A360" s="100" t="s">
        <v>108</v>
      </c>
      <c r="B360" s="100">
        <v>150</v>
      </c>
      <c r="C360" s="17"/>
      <c r="D360" s="127"/>
      <c r="E360" s="93">
        <f>E359+B360</f>
        <v>400</v>
      </c>
      <c r="F360" s="93"/>
      <c r="G360" s="93">
        <f>G359+B361</f>
        <v>300</v>
      </c>
      <c r="H360" s="93" t="str">
        <f t="shared" si="54"/>
        <v xml:space="preserve"> (list 400 300 )</v>
      </c>
      <c r="I360" s="93" t="s">
        <v>105</v>
      </c>
      <c r="J360" s="94"/>
      <c r="K360" s="95"/>
      <c r="U360" s="1" t="s">
        <v>84</v>
      </c>
      <c r="V360" s="1" t="s">
        <v>22</v>
      </c>
      <c r="W360" s="5" t="s">
        <v>23</v>
      </c>
      <c r="X360" s="1" t="s">
        <v>7</v>
      </c>
      <c r="AG360" s="90"/>
    </row>
    <row r="361" spans="1:33" hidden="1" x14ac:dyDescent="0.25">
      <c r="A361" s="100" t="s">
        <v>109</v>
      </c>
      <c r="B361" s="100">
        <v>150</v>
      </c>
      <c r="C361" s="17"/>
      <c r="D361" s="127"/>
      <c r="E361" s="93">
        <f>E360</f>
        <v>400</v>
      </c>
      <c r="F361" s="93"/>
      <c r="G361" s="93">
        <f>G339</f>
        <v>-225</v>
      </c>
      <c r="H361" s="93" t="str">
        <f t="shared" si="54"/>
        <v xml:space="preserve"> (list 400 -225 )</v>
      </c>
      <c r="I361" s="93" t="s">
        <v>106</v>
      </c>
      <c r="J361" s="94"/>
      <c r="K361" s="95"/>
      <c r="U361" s="62" t="str">
        <f>IF($V$22&gt;(D325-1),IF($F$8="Y",(CONCATENATE(U360,H359,H360,H361,H362,V360,V360,W360,X360)),""),"")</f>
        <v/>
      </c>
      <c r="AG361" s="90" t="str">
        <f>U361</f>
        <v/>
      </c>
    </row>
    <row r="362" spans="1:33" hidden="1" x14ac:dyDescent="0.25">
      <c r="A362" s="100"/>
      <c r="B362" s="100"/>
      <c r="C362" s="17"/>
      <c r="D362" s="127"/>
      <c r="E362" s="93">
        <f>E361+$M$13</f>
        <v>600</v>
      </c>
      <c r="F362" s="93"/>
      <c r="G362" s="93">
        <f>G361</f>
        <v>-225</v>
      </c>
      <c r="H362" s="93" t="str">
        <f t="shared" si="54"/>
        <v xml:space="preserve"> (list 600 -225 )</v>
      </c>
      <c r="I362" s="93" t="s">
        <v>110</v>
      </c>
      <c r="J362" s="94"/>
      <c r="K362" s="95"/>
      <c r="U362" s="1" t="s">
        <v>81</v>
      </c>
      <c r="V362" s="1" t="s">
        <v>15</v>
      </c>
      <c r="AG362" s="90"/>
    </row>
    <row r="363" spans="1:33" hidden="1" x14ac:dyDescent="0.25">
      <c r="A363" s="100"/>
      <c r="B363" s="100"/>
      <c r="C363" s="17"/>
      <c r="D363" s="127"/>
      <c r="E363" s="94">
        <f>E356-3*B360</f>
        <v>-200</v>
      </c>
      <c r="F363" s="94"/>
      <c r="G363" s="94">
        <f>G358</f>
        <v>300</v>
      </c>
      <c r="H363" s="94" t="str">
        <f t="shared" si="54"/>
        <v xml:space="preserve"> (list -200 300 )</v>
      </c>
      <c r="I363" s="94" t="s">
        <v>122</v>
      </c>
      <c r="J363" s="96"/>
      <c r="K363" s="95"/>
      <c r="U363" s="62" t="str">
        <f>CONCATENATE(U362,$M$11,V362)</f>
        <v>(command "color" 3 "")</v>
      </c>
      <c r="AG363" s="90" t="str">
        <f>U363</f>
        <v>(command "color" 3 "")</v>
      </c>
    </row>
    <row r="364" spans="1:33" hidden="1" x14ac:dyDescent="0.25">
      <c r="A364" s="100"/>
      <c r="B364" s="100"/>
      <c r="C364" s="17"/>
      <c r="D364" s="127"/>
      <c r="E364" s="94">
        <f>E363+B360</f>
        <v>-50</v>
      </c>
      <c r="F364" s="94"/>
      <c r="G364" s="94">
        <f>G363-B361</f>
        <v>150</v>
      </c>
      <c r="H364" s="94" t="str">
        <f t="shared" si="54"/>
        <v xml:space="preserve"> (list -50 150 )</v>
      </c>
      <c r="I364" s="94" t="s">
        <v>123</v>
      </c>
      <c r="J364" s="96"/>
      <c r="K364" s="95"/>
      <c r="U364" s="1" t="s">
        <v>84</v>
      </c>
      <c r="V364" s="1" t="s">
        <v>22</v>
      </c>
      <c r="W364" s="5" t="s">
        <v>23</v>
      </c>
      <c r="X364" s="1" t="s">
        <v>7</v>
      </c>
      <c r="AG364" s="90"/>
    </row>
    <row r="365" spans="1:33" hidden="1" x14ac:dyDescent="0.25">
      <c r="A365" s="100"/>
      <c r="B365" s="100"/>
      <c r="C365" s="17"/>
      <c r="D365" s="127"/>
      <c r="E365" s="94">
        <f>E364</f>
        <v>-50</v>
      </c>
      <c r="F365" s="94"/>
      <c r="G365" s="94">
        <f>G336</f>
        <v>675</v>
      </c>
      <c r="H365" s="94" t="str">
        <f t="shared" si="54"/>
        <v xml:space="preserve"> (list -50 675 )</v>
      </c>
      <c r="I365" s="94" t="s">
        <v>124</v>
      </c>
      <c r="J365" s="96"/>
      <c r="K365" s="95"/>
      <c r="U365" s="62" t="str">
        <f>IF($V$22&gt;(D325-1),IF($I$8="Y",(CONCATENATE(U364,H363,H364,H365,H366,V364,V364,W364,X364)),""),"")</f>
        <v/>
      </c>
      <c r="AG365" s="90" t="str">
        <f>U365</f>
        <v/>
      </c>
    </row>
    <row r="366" spans="1:33" hidden="1" x14ac:dyDescent="0.25">
      <c r="A366" s="100"/>
      <c r="B366" s="100"/>
      <c r="C366" s="17"/>
      <c r="D366" s="127"/>
      <c r="E366" s="94">
        <f>E365+$M$13</f>
        <v>150</v>
      </c>
      <c r="F366" s="94"/>
      <c r="G366" s="94">
        <f>G365</f>
        <v>675</v>
      </c>
      <c r="H366" s="94" t="str">
        <f t="shared" si="54"/>
        <v xml:space="preserve"> (list 150 675 )</v>
      </c>
      <c r="I366" s="94" t="s">
        <v>125</v>
      </c>
      <c r="J366" s="96"/>
      <c r="K366" s="95"/>
      <c r="U366" s="1" t="s">
        <v>86</v>
      </c>
      <c r="V366" s="1" t="s">
        <v>27</v>
      </c>
      <c r="X366" s="1" t="s">
        <v>28</v>
      </c>
      <c r="Y366" s="1" t="s">
        <v>19</v>
      </c>
      <c r="AG366" s="90"/>
    </row>
    <row r="367" spans="1:33" hidden="1" x14ac:dyDescent="0.25">
      <c r="A367" s="100" t="s">
        <v>62</v>
      </c>
      <c r="B367" s="100" t="s">
        <v>127</v>
      </c>
      <c r="C367" s="17"/>
      <c r="D367" s="127"/>
      <c r="E367" s="93">
        <f>E362+25</f>
        <v>625</v>
      </c>
      <c r="F367" s="93"/>
      <c r="G367" s="93">
        <f>G362-$M$15/2</f>
        <v>-275</v>
      </c>
      <c r="H367" s="93" t="str">
        <f>CONCATENATE(" (list ",E367," ",G367," ",")")</f>
        <v xml:space="preserve"> (list 625 -275 )</v>
      </c>
      <c r="I367" s="93" t="s">
        <v>119</v>
      </c>
      <c r="J367" s="94"/>
      <c r="K367" s="95"/>
      <c r="U367" s="62" t="str">
        <f>IF($V$22&gt;(D325-1),IF($F$8="Y",CONCATENATE($U$90,H367," ",$V$90,M298,$V$90,$X$90,A367,$Y$90),""),"")</f>
        <v/>
      </c>
      <c r="AG367" s="90" t="str">
        <f>U367</f>
        <v/>
      </c>
    </row>
    <row r="368" spans="1:33" hidden="1" x14ac:dyDescent="0.25">
      <c r="A368" s="100" t="s">
        <v>62</v>
      </c>
      <c r="B368" s="100" t="s">
        <v>126</v>
      </c>
      <c r="C368" s="17"/>
      <c r="D368" s="127"/>
      <c r="E368" s="97">
        <f>E366+25</f>
        <v>175</v>
      </c>
      <c r="F368" s="97"/>
      <c r="G368" s="97">
        <f>G366-$M$15/2</f>
        <v>625</v>
      </c>
      <c r="H368" s="97" t="str">
        <f>CONCATENATE(" (list ",E368," ",G368," ",")")</f>
        <v xml:space="preserve"> (list 175 625 )</v>
      </c>
      <c r="I368" s="97" t="s">
        <v>120</v>
      </c>
      <c r="J368" s="98"/>
      <c r="K368" s="99"/>
      <c r="U368" s="62" t="str">
        <f>IF($V$22&gt;(D325-1),IF($I$8="Y",CONCATENATE(U366,H368," ",V366,M298,V366,X366,A368,Y366),""),"")</f>
        <v/>
      </c>
      <c r="AG368" s="90" t="str">
        <f>U368</f>
        <v/>
      </c>
    </row>
    <row r="369" spans="1:33" hidden="1" x14ac:dyDescent="0.25">
      <c r="A369" s="8"/>
      <c r="B369" s="8"/>
      <c r="C369" s="8"/>
      <c r="D369" s="8"/>
      <c r="E369" s="8"/>
      <c r="F369" s="8"/>
      <c r="G369" s="8"/>
      <c r="H369" s="17"/>
      <c r="I369" s="8"/>
      <c r="J369" s="8"/>
      <c r="K369" s="8"/>
      <c r="U369" s="35"/>
      <c r="AD369" s="43"/>
    </row>
    <row r="370" spans="1:33" hidden="1" x14ac:dyDescent="0.25"/>
    <row r="371" spans="1:33" ht="21" hidden="1" x14ac:dyDescent="0.35">
      <c r="A371" s="13"/>
      <c r="B371" s="13"/>
      <c r="C371" s="14"/>
      <c r="D371" s="103">
        <f>D325+1</f>
        <v>7</v>
      </c>
      <c r="E371" s="15">
        <f>$B$7+$H$7/2+B381+C382/2</f>
        <v>18500</v>
      </c>
      <c r="F371" s="15"/>
      <c r="G371" s="15">
        <f>$C$7-$C$12</f>
        <v>-500</v>
      </c>
      <c r="H371" s="15" t="str">
        <f t="shared" ref="H371:H378" si="56">CONCATENATE(" (list ",E371," ",G371," ",")")</f>
        <v xml:space="preserve"> (list 18500 -500 )</v>
      </c>
      <c r="I371" s="8" t="s">
        <v>47</v>
      </c>
      <c r="J371" s="8"/>
      <c r="K371" s="8"/>
      <c r="U371" s="1" t="s">
        <v>81</v>
      </c>
      <c r="V371" s="1" t="s">
        <v>15</v>
      </c>
    </row>
    <row r="372" spans="1:33" hidden="1" x14ac:dyDescent="0.25">
      <c r="A372" s="13"/>
      <c r="B372" s="13"/>
      <c r="C372" s="14"/>
      <c r="D372" s="8"/>
      <c r="E372" s="15">
        <f>E371</f>
        <v>18500</v>
      </c>
      <c r="F372" s="15"/>
      <c r="G372" s="15">
        <f>$C$7</f>
        <v>0</v>
      </c>
      <c r="H372" s="15" t="str">
        <f t="shared" si="56"/>
        <v xml:space="preserve"> (list 18500 0 )</v>
      </c>
      <c r="I372" s="8" t="s">
        <v>48</v>
      </c>
      <c r="J372" s="8"/>
      <c r="K372" s="8"/>
      <c r="U372" s="7" t="str">
        <f>CONCATENATE(U371,$M$9,V371)</f>
        <v>(command "color" 1 "")</v>
      </c>
      <c r="AG372" s="45" t="str">
        <f t="shared" si="49"/>
        <v>(command "color" 1 "")</v>
      </c>
    </row>
    <row r="373" spans="1:33" hidden="1" x14ac:dyDescent="0.25">
      <c r="A373" s="13"/>
      <c r="B373" s="13"/>
      <c r="C373" s="14"/>
      <c r="D373" s="8"/>
      <c r="E373" s="15">
        <f>$B$7+$H$7/2+B382-C383/2</f>
        <v>24000</v>
      </c>
      <c r="F373" s="15"/>
      <c r="G373" s="15">
        <f>G372</f>
        <v>0</v>
      </c>
      <c r="H373" s="15" t="str">
        <f t="shared" si="56"/>
        <v xml:space="preserve"> (list 24000 0 )</v>
      </c>
      <c r="I373" s="8" t="s">
        <v>49</v>
      </c>
      <c r="J373" s="8"/>
      <c r="K373" s="8"/>
      <c r="U373" s="1" t="s">
        <v>79</v>
      </c>
      <c r="V373" s="1" t="s">
        <v>15</v>
      </c>
    </row>
    <row r="374" spans="1:33" hidden="1" x14ac:dyDescent="0.25">
      <c r="A374" s="13"/>
      <c r="B374" s="13"/>
      <c r="C374" s="14"/>
      <c r="D374" s="8"/>
      <c r="E374" s="15">
        <f>$B$7+$H$7/2+B382-C383/2</f>
        <v>24000</v>
      </c>
      <c r="F374" s="15"/>
      <c r="G374" s="15">
        <f>G371</f>
        <v>-500</v>
      </c>
      <c r="H374" s="15" t="str">
        <f t="shared" si="56"/>
        <v xml:space="preserve"> (list 24000 -500 )</v>
      </c>
      <c r="I374" s="8" t="s">
        <v>50</v>
      </c>
      <c r="J374" s="8"/>
      <c r="K374" s="8"/>
      <c r="U374" s="9" t="str">
        <f>IF($V$22&gt;(D371-1),CONCATENATE(U373,H371,H372,H373,H374,V373),"")</f>
        <v/>
      </c>
      <c r="AG374" s="45" t="str">
        <f t="shared" si="49"/>
        <v/>
      </c>
    </row>
    <row r="375" spans="1:33" hidden="1" x14ac:dyDescent="0.25">
      <c r="A375" s="13"/>
      <c r="B375" s="13"/>
      <c r="C375" s="14"/>
      <c r="D375" s="8"/>
      <c r="E375" s="16">
        <f>E371</f>
        <v>18500</v>
      </c>
      <c r="F375" s="16"/>
      <c r="G375" s="16">
        <f>$C$7+$C$10+$C$12</f>
        <v>950</v>
      </c>
      <c r="H375" s="16" t="str">
        <f t="shared" si="56"/>
        <v xml:space="preserve"> (list 18500 950 )</v>
      </c>
      <c r="I375" s="8" t="s">
        <v>52</v>
      </c>
      <c r="J375" s="8"/>
      <c r="K375" s="8"/>
      <c r="U375" s="9" t="str">
        <f>IF($V$22&gt;(D371-1),CONCATENATE(U373,H375,H376,H377,H378,V373),"")</f>
        <v/>
      </c>
      <c r="AG375" s="45" t="str">
        <f t="shared" si="49"/>
        <v/>
      </c>
    </row>
    <row r="376" spans="1:33" hidden="1" x14ac:dyDescent="0.25">
      <c r="A376" s="13"/>
      <c r="B376" s="13"/>
      <c r="C376" s="14"/>
      <c r="D376" s="8"/>
      <c r="E376" s="16">
        <f>E372</f>
        <v>18500</v>
      </c>
      <c r="F376" s="16"/>
      <c r="G376" s="16">
        <f>$C$7+$C$10</f>
        <v>450</v>
      </c>
      <c r="H376" s="16" t="str">
        <f t="shared" si="56"/>
        <v xml:space="preserve"> (list 18500 450 )</v>
      </c>
      <c r="I376" s="8" t="s">
        <v>53</v>
      </c>
      <c r="J376" s="8"/>
      <c r="K376" s="8"/>
    </row>
    <row r="377" spans="1:33" hidden="1" x14ac:dyDescent="0.25">
      <c r="A377" s="13"/>
      <c r="B377" s="13"/>
      <c r="C377" s="14"/>
      <c r="D377" s="8"/>
      <c r="E377" s="16">
        <f>E373</f>
        <v>24000</v>
      </c>
      <c r="F377" s="16"/>
      <c r="G377" s="16">
        <f>G376</f>
        <v>450</v>
      </c>
      <c r="H377" s="16" t="str">
        <f t="shared" si="56"/>
        <v xml:space="preserve"> (list 24000 450 )</v>
      </c>
      <c r="I377" s="8" t="s">
        <v>54</v>
      </c>
      <c r="J377" s="8"/>
      <c r="K377" s="8"/>
    </row>
    <row r="378" spans="1:33" hidden="1" x14ac:dyDescent="0.25">
      <c r="A378" s="13"/>
      <c r="B378" s="13"/>
      <c r="C378" s="14"/>
      <c r="D378" s="8"/>
      <c r="E378" s="16">
        <f>E374</f>
        <v>24000</v>
      </c>
      <c r="F378" s="16"/>
      <c r="G378" s="16">
        <f>G375</f>
        <v>950</v>
      </c>
      <c r="H378" s="16" t="str">
        <f t="shared" si="56"/>
        <v xml:space="preserve"> (list 24000 950 )</v>
      </c>
      <c r="I378" s="8" t="s">
        <v>51</v>
      </c>
      <c r="J378" s="8"/>
      <c r="K378" s="8"/>
      <c r="U378" s="1" t="s">
        <v>81</v>
      </c>
      <c r="V378" s="1" t="s">
        <v>15</v>
      </c>
    </row>
    <row r="379" spans="1:33" hidden="1" x14ac:dyDescent="0.25">
      <c r="A379" s="13"/>
      <c r="B379" s="8"/>
      <c r="C379" s="8"/>
      <c r="D379" s="8"/>
      <c r="E379" s="8"/>
      <c r="F379" s="8"/>
      <c r="G379" s="8"/>
      <c r="H379" s="8"/>
      <c r="I379" s="8"/>
      <c r="J379" s="8"/>
      <c r="K379" s="8"/>
      <c r="U379" s="7" t="str">
        <f>CONCATENATE(U378,$M$11,V378)</f>
        <v>(command "color" 3 "")</v>
      </c>
      <c r="AG379" s="45" t="str">
        <f t="shared" si="49"/>
        <v>(command "color" 3 "")</v>
      </c>
    </row>
    <row r="380" spans="1:33" hidden="1" x14ac:dyDescent="0.25">
      <c r="A380" s="22" t="s">
        <v>3</v>
      </c>
      <c r="B380" s="22" t="s">
        <v>9</v>
      </c>
      <c r="C380" s="23" t="s">
        <v>0</v>
      </c>
      <c r="D380" s="8"/>
      <c r="E380" s="17">
        <f>(E376+E377)/2</f>
        <v>21250</v>
      </c>
      <c r="F380" s="17"/>
      <c r="G380" s="17">
        <f>$C$7+$C$10-$C$14</f>
        <v>375</v>
      </c>
      <c r="H380" s="17" t="str">
        <f t="shared" ref="H380:H393" si="57">CONCATENATE(" (list ",E380," ",G380," ",")")</f>
        <v xml:space="preserve"> (list 21250 375 )</v>
      </c>
      <c r="I380" s="18" t="s">
        <v>36</v>
      </c>
      <c r="J380" s="18"/>
      <c r="K380" s="18"/>
      <c r="U380" s="1" t="s">
        <v>84</v>
      </c>
      <c r="V380" s="1" t="s">
        <v>22</v>
      </c>
      <c r="W380" s="5" t="s">
        <v>23</v>
      </c>
      <c r="X380" s="1" t="s">
        <v>7</v>
      </c>
    </row>
    <row r="381" spans="1:33" hidden="1" x14ac:dyDescent="0.25">
      <c r="A381" s="13"/>
      <c r="B381" s="8">
        <f>VLOOKUP(D371-1,$D$7:$H$17,4)</f>
        <v>18000</v>
      </c>
      <c r="C381" s="8"/>
      <c r="D381" s="8"/>
      <c r="E381" s="17">
        <f>E380</f>
        <v>21250</v>
      </c>
      <c r="F381" s="17"/>
      <c r="G381" s="17">
        <f>G380+$M$12</f>
        <v>675</v>
      </c>
      <c r="H381" s="17" t="str">
        <f t="shared" si="57"/>
        <v xml:space="preserve"> (list 21250 675 )</v>
      </c>
      <c r="I381" s="18" t="s">
        <v>37</v>
      </c>
      <c r="J381" s="18"/>
      <c r="K381" s="18"/>
      <c r="U381" s="7" t="str">
        <f>IF($V$22&gt;(D371-1),CONCATENATE(U380,H380,H381,H382,V380,V380,W380,X380),"")</f>
        <v/>
      </c>
      <c r="AG381" s="45" t="str">
        <f t="shared" si="49"/>
        <v/>
      </c>
    </row>
    <row r="382" spans="1:33" hidden="1" x14ac:dyDescent="0.25">
      <c r="A382" s="13"/>
      <c r="B382" s="8">
        <f>B381+A384</f>
        <v>24000</v>
      </c>
      <c r="C382" s="8">
        <f>VLOOKUP(D371,$D$7:$H$17,5)</f>
        <v>500</v>
      </c>
      <c r="D382" s="8"/>
      <c r="E382" s="17">
        <f>E381+$M$13</f>
        <v>21450</v>
      </c>
      <c r="F382" s="17"/>
      <c r="G382" s="17">
        <f>G381</f>
        <v>675</v>
      </c>
      <c r="H382" s="17" t="str">
        <f t="shared" si="57"/>
        <v xml:space="preserve"> (list 21450 675 )</v>
      </c>
      <c r="I382" s="18" t="s">
        <v>38</v>
      </c>
      <c r="J382" s="18"/>
      <c r="K382" s="18"/>
    </row>
    <row r="383" spans="1:33" hidden="1" x14ac:dyDescent="0.25">
      <c r="A383" s="13">
        <f>VLOOKUP(D371-1,$D$7:$E$17,2)</f>
        <v>6000</v>
      </c>
      <c r="B383" s="8"/>
      <c r="C383" s="8">
        <f>VLOOKUP(D371+1,$D$7:$H$17,5)</f>
        <v>500</v>
      </c>
      <c r="D383" s="8"/>
      <c r="E383" s="19">
        <f>E380</f>
        <v>21250</v>
      </c>
      <c r="F383" s="19"/>
      <c r="G383" s="19">
        <f>$C$7+$C$14</f>
        <v>75</v>
      </c>
      <c r="H383" s="19" t="str">
        <f t="shared" si="57"/>
        <v xml:space="preserve"> (list 21250 75 )</v>
      </c>
      <c r="I383" s="19" t="s">
        <v>39</v>
      </c>
      <c r="J383" s="19"/>
      <c r="K383" s="19"/>
      <c r="U383" s="1" t="s">
        <v>84</v>
      </c>
      <c r="V383" s="1" t="s">
        <v>22</v>
      </c>
      <c r="W383" s="5" t="s">
        <v>23</v>
      </c>
      <c r="X383" s="1" t="s">
        <v>7</v>
      </c>
    </row>
    <row r="384" spans="1:33" hidden="1" x14ac:dyDescent="0.25">
      <c r="A384" s="13">
        <f>VLOOKUP(D371,$D$7:$H$17,2)</f>
        <v>6000</v>
      </c>
      <c r="B384" s="8"/>
      <c r="C384" s="8"/>
      <c r="D384" s="8"/>
      <c r="E384" s="19">
        <f>E383</f>
        <v>21250</v>
      </c>
      <c r="F384" s="19"/>
      <c r="G384" s="19">
        <f>G383-$M$12</f>
        <v>-225</v>
      </c>
      <c r="H384" s="19" t="str">
        <f t="shared" si="57"/>
        <v xml:space="preserve"> (list 21250 -225 )</v>
      </c>
      <c r="I384" s="19" t="s">
        <v>40</v>
      </c>
      <c r="J384" s="19"/>
      <c r="K384" s="19"/>
      <c r="U384" s="7" t="str">
        <f>IF($V$22&gt;(D371-1),CONCATENATE(U383,H383,H384,H385,V383,V383,W383,X383),"")</f>
        <v/>
      </c>
      <c r="AG384" s="45" t="str">
        <f t="shared" si="49"/>
        <v/>
      </c>
    </row>
    <row r="385" spans="1:33" hidden="1" x14ac:dyDescent="0.25">
      <c r="A385" s="13"/>
      <c r="B385" s="8"/>
      <c r="C385" s="8"/>
      <c r="D385" s="8"/>
      <c r="E385" s="19">
        <f>E384+$M$13</f>
        <v>21450</v>
      </c>
      <c r="F385" s="19"/>
      <c r="G385" s="19">
        <f>G384</f>
        <v>-225</v>
      </c>
      <c r="H385" s="19" t="str">
        <f t="shared" si="57"/>
        <v xml:space="preserve"> (list 21450 -225 )</v>
      </c>
      <c r="I385" s="19" t="s">
        <v>41</v>
      </c>
      <c r="J385" s="19"/>
      <c r="K385" s="19"/>
      <c r="U385" s="1" t="s">
        <v>82</v>
      </c>
      <c r="X385" s="1" t="s">
        <v>7</v>
      </c>
    </row>
    <row r="386" spans="1:33" hidden="1" x14ac:dyDescent="0.25">
      <c r="A386" s="13"/>
      <c r="B386" s="8"/>
      <c r="C386" s="8"/>
      <c r="D386" s="8"/>
      <c r="E386" s="20">
        <f>$B$7+$H$7/2+B381+C382/2</f>
        <v>18500</v>
      </c>
      <c r="F386" s="20"/>
      <c r="G386" s="20">
        <f>$C$7-$C$12</f>
        <v>-500</v>
      </c>
      <c r="H386" s="20" t="str">
        <f t="shared" si="57"/>
        <v xml:space="preserve"> (list 18500 -500 )</v>
      </c>
      <c r="I386" s="20" t="s">
        <v>33</v>
      </c>
      <c r="J386" s="20"/>
      <c r="K386" s="20"/>
      <c r="U386" s="9" t="str">
        <f>IF($V$22&gt;(D371-1),CONCATENATE(U385,H386,H387,H388,X385),"")</f>
        <v/>
      </c>
      <c r="AG386" s="45" t="str">
        <f t="shared" si="49"/>
        <v/>
      </c>
    </row>
    <row r="387" spans="1:33" hidden="1" x14ac:dyDescent="0.25">
      <c r="A387" s="13"/>
      <c r="B387" s="8"/>
      <c r="C387" s="8"/>
      <c r="D387" s="8"/>
      <c r="E387" s="20">
        <f>$B$7+$H$7/2+B382-C383/2</f>
        <v>24000</v>
      </c>
      <c r="F387" s="20"/>
      <c r="G387" s="20">
        <f>$C$7-$C$12</f>
        <v>-500</v>
      </c>
      <c r="H387" s="20" t="str">
        <f t="shared" si="57"/>
        <v xml:space="preserve"> (list 24000 -500 )</v>
      </c>
      <c r="I387" s="20" t="s">
        <v>34</v>
      </c>
      <c r="J387" s="20"/>
      <c r="K387" s="20"/>
      <c r="U387" s="1" t="s">
        <v>86</v>
      </c>
      <c r="V387" s="1" t="s">
        <v>27</v>
      </c>
      <c r="W387" s="1" t="s">
        <v>29</v>
      </c>
      <c r="X387" s="1" t="s">
        <v>28</v>
      </c>
      <c r="AA387" s="1" t="s">
        <v>30</v>
      </c>
      <c r="AB387" s="1" t="s">
        <v>31</v>
      </c>
    </row>
    <row r="388" spans="1:33" hidden="1" x14ac:dyDescent="0.25">
      <c r="A388" s="66" t="s">
        <v>29</v>
      </c>
      <c r="B388" s="8"/>
      <c r="C388" s="8"/>
      <c r="D388" s="8"/>
      <c r="E388" s="20">
        <f>E387</f>
        <v>24000</v>
      </c>
      <c r="F388" s="20"/>
      <c r="G388" s="20">
        <f>G387</f>
        <v>-500</v>
      </c>
      <c r="H388" s="20" t="str">
        <f t="shared" si="57"/>
        <v xml:space="preserve"> (list 24000 -500 )</v>
      </c>
      <c r="I388" s="20" t="s">
        <v>35</v>
      </c>
      <c r="J388" s="20"/>
      <c r="K388" s="20"/>
      <c r="U388" s="9" t="str">
        <f>IF($V$22&gt;(D371-1),CONCATENATE(U387,AA387,AB387,H389," ",V387,$M$15,V387,X387,W387,X385),"")</f>
        <v/>
      </c>
      <c r="AG388" s="45" t="str">
        <f t="shared" si="49"/>
        <v/>
      </c>
    </row>
    <row r="389" spans="1:33" hidden="1" x14ac:dyDescent="0.25">
      <c r="A389" s="13"/>
      <c r="B389" s="8"/>
      <c r="C389" s="8"/>
      <c r="D389" s="8"/>
      <c r="E389" s="20">
        <f>(E386+E387)/2</f>
        <v>21250</v>
      </c>
      <c r="F389" s="20"/>
      <c r="G389" s="20">
        <f>G388+$C$14</f>
        <v>-425</v>
      </c>
      <c r="H389" s="20" t="str">
        <f t="shared" si="57"/>
        <v xml:space="preserve"> (list 21250 -425 )</v>
      </c>
      <c r="I389" s="20" t="s">
        <v>117</v>
      </c>
      <c r="J389" s="20"/>
      <c r="K389" s="20"/>
    </row>
    <row r="390" spans="1:33" hidden="1" x14ac:dyDescent="0.25">
      <c r="A390" s="13"/>
      <c r="B390" s="8"/>
      <c r="C390" s="8"/>
      <c r="D390" s="8"/>
      <c r="E390" s="17">
        <f>E386+$C$15</f>
        <v>19000</v>
      </c>
      <c r="F390" s="17"/>
      <c r="G390" s="17">
        <f>G380+$C$14/2</f>
        <v>412.5</v>
      </c>
      <c r="H390" s="17" t="str">
        <f t="shared" si="57"/>
        <v xml:space="preserve"> (list 19000 412.5 )</v>
      </c>
      <c r="I390" s="17" t="s">
        <v>42</v>
      </c>
      <c r="J390" s="17"/>
      <c r="K390" s="17"/>
      <c r="U390" s="1" t="s">
        <v>79</v>
      </c>
      <c r="V390" s="1" t="s">
        <v>15</v>
      </c>
    </row>
    <row r="391" spans="1:33" hidden="1" x14ac:dyDescent="0.25">
      <c r="A391" s="13"/>
      <c r="B391" s="8"/>
      <c r="C391" s="8"/>
      <c r="D391" s="8"/>
      <c r="E391" s="17">
        <f>E386+$C$15</f>
        <v>19000</v>
      </c>
      <c r="F391" s="17"/>
      <c r="G391" s="17">
        <f>G383-$C$14/2</f>
        <v>37.5</v>
      </c>
      <c r="H391" s="17" t="str">
        <f t="shared" si="57"/>
        <v xml:space="preserve"> (list 19000 37.5 )</v>
      </c>
      <c r="I391" s="17" t="s">
        <v>43</v>
      </c>
      <c r="J391" s="17"/>
      <c r="K391" s="17"/>
      <c r="U391" s="10" t="str">
        <f>IF($V$22&gt;(D371-1),CONCATENATE($U$159,H390,H391,V390),"")</f>
        <v/>
      </c>
      <c r="AG391" s="45" t="str">
        <f t="shared" si="49"/>
        <v/>
      </c>
    </row>
    <row r="392" spans="1:33" hidden="1" x14ac:dyDescent="0.25">
      <c r="A392" s="13"/>
      <c r="B392" s="8"/>
      <c r="C392" s="8"/>
      <c r="D392" s="8"/>
      <c r="E392" s="17">
        <f>E390+200</f>
        <v>19200</v>
      </c>
      <c r="F392" s="17"/>
      <c r="G392" s="17">
        <f>G390</f>
        <v>412.5</v>
      </c>
      <c r="H392" s="17" t="str">
        <f t="shared" si="57"/>
        <v xml:space="preserve"> (list 19200 412.5 )</v>
      </c>
      <c r="I392" s="17" t="s">
        <v>44</v>
      </c>
      <c r="J392" s="17"/>
      <c r="K392" s="17"/>
      <c r="U392" s="10" t="str">
        <f>IF($V$22&gt;(D371-1),CONCATENATE($U$159,H392,H393,V390),"")</f>
        <v/>
      </c>
      <c r="AG392" s="45" t="str">
        <f t="shared" si="49"/>
        <v/>
      </c>
    </row>
    <row r="393" spans="1:33" hidden="1" x14ac:dyDescent="0.25">
      <c r="A393" s="13"/>
      <c r="B393" s="8"/>
      <c r="C393" s="8"/>
      <c r="D393" s="8"/>
      <c r="E393" s="17">
        <f>E391+200</f>
        <v>19200</v>
      </c>
      <c r="F393" s="17"/>
      <c r="G393" s="17">
        <f>G391</f>
        <v>37.5</v>
      </c>
      <c r="H393" s="17" t="str">
        <f t="shared" si="57"/>
        <v xml:space="preserve"> (list 19200 37.5 )</v>
      </c>
      <c r="I393" s="17" t="s">
        <v>45</v>
      </c>
      <c r="J393" s="17"/>
      <c r="K393" s="17"/>
    </row>
    <row r="394" spans="1:33" hidden="1" x14ac:dyDescent="0.25">
      <c r="A394" s="13"/>
      <c r="B394" s="8"/>
      <c r="C394" s="8"/>
      <c r="D394" s="8"/>
      <c r="E394" s="21" t="s">
        <v>21</v>
      </c>
      <c r="F394" s="21"/>
      <c r="G394" s="8"/>
      <c r="H394" s="8"/>
      <c r="I394" s="8"/>
      <c r="J394" s="8"/>
      <c r="K394" s="8"/>
      <c r="U394" s="1" t="s">
        <v>86</v>
      </c>
      <c r="V394" s="1" t="s">
        <v>27</v>
      </c>
      <c r="W394" s="1" t="s">
        <v>63</v>
      </c>
      <c r="X394" s="1" t="s">
        <v>28</v>
      </c>
      <c r="AA394" s="1" t="s">
        <v>30</v>
      </c>
      <c r="AB394" s="1" t="s">
        <v>32</v>
      </c>
    </row>
    <row r="395" spans="1:33" hidden="1" x14ac:dyDescent="0.25">
      <c r="A395" s="8" t="s">
        <v>62</v>
      </c>
      <c r="B395" s="8" t="s">
        <v>115</v>
      </c>
      <c r="C395" s="8"/>
      <c r="D395" s="8"/>
      <c r="E395" s="8">
        <f>E382+50</f>
        <v>21500</v>
      </c>
      <c r="F395" s="8"/>
      <c r="G395" s="8">
        <f>G382</f>
        <v>675</v>
      </c>
      <c r="H395" s="17" t="str">
        <f t="shared" ref="H395:H396" si="58">CONCATENATE(" (list ",E395," ",G395," ",")")</f>
        <v xml:space="preserve"> (list 21500 675 )</v>
      </c>
      <c r="I395" s="8" t="s">
        <v>113</v>
      </c>
      <c r="J395" s="8"/>
      <c r="K395" s="8"/>
      <c r="U395" s="6" t="str">
        <f>IF($V$22&gt;(D371-1),CONCATENATE(U394,AA394,AB394,H395," ",V394,$M$15,V394,X394,A395,X395),"")</f>
        <v/>
      </c>
      <c r="V395" s="1" t="s">
        <v>22</v>
      </c>
      <c r="W395" s="5" t="s">
        <v>23</v>
      </c>
      <c r="X395" s="1" t="s">
        <v>7</v>
      </c>
      <c r="AG395" s="45" t="str">
        <f t="shared" si="49"/>
        <v/>
      </c>
    </row>
    <row r="396" spans="1:33" hidden="1" x14ac:dyDescent="0.25">
      <c r="A396" s="8" t="s">
        <v>62</v>
      </c>
      <c r="B396" s="8" t="s">
        <v>116</v>
      </c>
      <c r="C396" s="8"/>
      <c r="D396" s="8"/>
      <c r="E396" s="8">
        <f>E385+50</f>
        <v>21500</v>
      </c>
      <c r="F396" s="8"/>
      <c r="G396" s="8">
        <f>G385</f>
        <v>-225</v>
      </c>
      <c r="H396" s="17" t="str">
        <f t="shared" si="58"/>
        <v xml:space="preserve"> (list 21500 -225 )</v>
      </c>
      <c r="I396" s="8" t="s">
        <v>114</v>
      </c>
      <c r="J396" s="8"/>
      <c r="K396" s="8"/>
      <c r="U396" s="6" t="str">
        <f>IF($V$22&gt;(D371-1),CONCATENATE(U394,AA394,AB394,H396," ",V394,$M$15,V394,X394,A396,X395),"")</f>
        <v/>
      </c>
      <c r="AD396" s="43"/>
      <c r="AG396" s="45" t="str">
        <f t="shared" si="49"/>
        <v/>
      </c>
    </row>
    <row r="397" spans="1:33" hidden="1" x14ac:dyDescent="0.25">
      <c r="A397" s="6"/>
      <c r="B397" s="6"/>
      <c r="C397" s="6"/>
      <c r="D397" s="6"/>
      <c r="E397" s="6"/>
      <c r="F397" s="6"/>
      <c r="G397" s="6"/>
      <c r="H397" s="102"/>
      <c r="I397" s="6"/>
      <c r="J397" s="6"/>
      <c r="K397" s="6"/>
      <c r="U397" s="6"/>
      <c r="AD397" s="43"/>
    </row>
    <row r="398" spans="1:33" ht="15" hidden="1" customHeight="1" x14ac:dyDescent="0.25">
      <c r="A398" s="91" t="s">
        <v>118</v>
      </c>
      <c r="B398" s="91">
        <f>$E$13</f>
        <v>0</v>
      </c>
      <c r="C398" s="8"/>
      <c r="D398" s="127" t="s">
        <v>131</v>
      </c>
      <c r="E398" s="8"/>
      <c r="F398" s="8"/>
      <c r="G398" s="8"/>
      <c r="H398" s="8"/>
      <c r="I398" s="8"/>
      <c r="J398" s="8"/>
      <c r="K398" s="8"/>
      <c r="U398" s="1" t="s">
        <v>81</v>
      </c>
      <c r="V398" s="1" t="s">
        <v>15</v>
      </c>
      <c r="AG398" s="90"/>
    </row>
    <row r="399" spans="1:33" ht="15" hidden="1" customHeight="1" x14ac:dyDescent="0.25">
      <c r="A399" s="91" t="s">
        <v>95</v>
      </c>
      <c r="B399" s="91">
        <f>B398/10</f>
        <v>0</v>
      </c>
      <c r="C399" s="8"/>
      <c r="D399" s="127"/>
      <c r="E399" s="92">
        <f>$B$7+$H$7/2+$G$12+$H$13/2+B399</f>
        <v>250</v>
      </c>
      <c r="F399" s="92"/>
      <c r="G399" s="92">
        <f>$G$78</f>
        <v>150</v>
      </c>
      <c r="H399" s="92" t="str">
        <f t="shared" ref="H399:H402" si="59">CONCATENATE(" (list ",E399," ",G399," ",")")</f>
        <v xml:space="preserve"> (list 250 150 )</v>
      </c>
      <c r="I399" s="92" t="s">
        <v>97</v>
      </c>
      <c r="J399" s="8"/>
      <c r="K399" s="8"/>
      <c r="U399" s="7" t="str">
        <f>CONCATENATE(U398,$M$10,V398)</f>
        <v>(command "color" 2 "")</v>
      </c>
      <c r="AG399" s="90" t="str">
        <f t="shared" ref="AG399" si="60">U399</f>
        <v>(command "color" 2 "")</v>
      </c>
    </row>
    <row r="400" spans="1:33" hidden="1" x14ac:dyDescent="0.25">
      <c r="A400" s="91" t="s">
        <v>96</v>
      </c>
      <c r="B400" s="91">
        <f>FLOOR(B398/3,1)</f>
        <v>0</v>
      </c>
      <c r="C400" s="8"/>
      <c r="D400" s="127"/>
      <c r="E400" s="92">
        <f>$B$7+$H$7/2+$G$13-$H$14/2-B399</f>
        <v>250</v>
      </c>
      <c r="F400" s="92"/>
      <c r="G400" s="92">
        <f>G399</f>
        <v>150</v>
      </c>
      <c r="H400" s="92" t="str">
        <f t="shared" si="59"/>
        <v xml:space="preserve"> (list 250 150 )</v>
      </c>
      <c r="I400" s="92" t="s">
        <v>98</v>
      </c>
      <c r="J400" s="8"/>
      <c r="K400" s="8"/>
      <c r="U400" s="1" t="s">
        <v>79</v>
      </c>
      <c r="V400" s="1" t="s">
        <v>15</v>
      </c>
      <c r="AG400" s="90"/>
    </row>
    <row r="401" spans="1:33" hidden="1" x14ac:dyDescent="0.25">
      <c r="A401" s="91" t="s">
        <v>103</v>
      </c>
      <c r="B401" s="91">
        <f>E400-E399</f>
        <v>0</v>
      </c>
      <c r="C401" s="8"/>
      <c r="D401" s="127"/>
      <c r="E401" s="20">
        <f>$B$7+$H$7/2+$G$12</f>
        <v>250</v>
      </c>
      <c r="F401" s="20"/>
      <c r="G401" s="20">
        <f>$G$82</f>
        <v>300</v>
      </c>
      <c r="H401" s="20" t="str">
        <f t="shared" si="59"/>
        <v xml:space="preserve"> (list 250 300 )</v>
      </c>
      <c r="I401" s="20" t="s">
        <v>100</v>
      </c>
      <c r="J401" s="8" t="s">
        <v>129</v>
      </c>
      <c r="K401" s="8"/>
      <c r="U401" s="62" t="str">
        <f>IF($V$22&gt;(D371-1),IF($I$8="Y",CONCATENATE($U$79,H399,H400,$V$79),""),"")</f>
        <v/>
      </c>
      <c r="AG401" s="90" t="str">
        <f t="shared" ref="AG401:AG403" si="61">U401</f>
        <v/>
      </c>
    </row>
    <row r="402" spans="1:33" hidden="1" x14ac:dyDescent="0.25">
      <c r="A402" s="91"/>
      <c r="B402" s="91"/>
      <c r="C402" s="8"/>
      <c r="D402" s="127"/>
      <c r="E402" s="20">
        <f>E401+B400</f>
        <v>250</v>
      </c>
      <c r="F402" s="20"/>
      <c r="G402" s="20">
        <f>G401</f>
        <v>300</v>
      </c>
      <c r="H402" s="20" t="str">
        <f t="shared" si="59"/>
        <v xml:space="preserve"> (list 250 300 )</v>
      </c>
      <c r="I402" s="20" t="s">
        <v>99</v>
      </c>
      <c r="J402" s="8"/>
      <c r="K402" s="8"/>
      <c r="U402" s="62" t="str">
        <f>IF($V$22&gt;(D371-1),IF($F$9="Y",CONCATENATE($U$79,H401,H402,$V$79),""),"")</f>
        <v/>
      </c>
      <c r="AG402" s="90" t="str">
        <f t="shared" si="61"/>
        <v/>
      </c>
    </row>
    <row r="403" spans="1:33" hidden="1" x14ac:dyDescent="0.25">
      <c r="A403" s="91"/>
      <c r="B403" s="91"/>
      <c r="C403" s="8"/>
      <c r="D403" s="127"/>
      <c r="E403" s="92">
        <f>E401+B398</f>
        <v>250</v>
      </c>
      <c r="F403" s="92"/>
      <c r="G403" s="92">
        <f>G402</f>
        <v>300</v>
      </c>
      <c r="H403" s="92" t="str">
        <f>CONCATENATE(" (list ",E403," ",G403," ",")")</f>
        <v xml:space="preserve"> (list 250 300 )</v>
      </c>
      <c r="I403" s="92" t="s">
        <v>132</v>
      </c>
      <c r="J403" s="8" t="s">
        <v>130</v>
      </c>
      <c r="K403" s="8"/>
      <c r="U403" s="62" t="str">
        <f>IF($V$22&gt;(D371-1),IF($F$10="Y",CONCATENATE($U$79,H403,H404,$V$79),""),"")</f>
        <v/>
      </c>
      <c r="AG403" s="90" t="str">
        <f t="shared" si="61"/>
        <v/>
      </c>
    </row>
    <row r="404" spans="1:33" hidden="1" x14ac:dyDescent="0.25">
      <c r="A404" s="91"/>
      <c r="B404" s="91"/>
      <c r="C404" s="8"/>
      <c r="D404" s="127"/>
      <c r="E404" s="92">
        <f>E403-B400</f>
        <v>250</v>
      </c>
      <c r="F404" s="92"/>
      <c r="G404" s="92">
        <f>G402</f>
        <v>300</v>
      </c>
      <c r="H404" s="92" t="str">
        <f>CONCATENATE(" (list ",E404," ",G404," ",")")</f>
        <v xml:space="preserve"> (list 250 300 )</v>
      </c>
      <c r="I404" s="92" t="s">
        <v>133</v>
      </c>
      <c r="J404" s="8"/>
      <c r="K404" s="8"/>
      <c r="U404" s="1" t="s">
        <v>81</v>
      </c>
      <c r="V404" s="1" t="s">
        <v>15</v>
      </c>
      <c r="AG404" s="90"/>
    </row>
    <row r="405" spans="1:33" hidden="1" x14ac:dyDescent="0.25">
      <c r="A405" s="100" t="s">
        <v>107</v>
      </c>
      <c r="B405" s="100"/>
      <c r="C405" s="17"/>
      <c r="D405" s="127"/>
      <c r="E405" s="93">
        <f>FLOOR(B401*2/3,1)+E399</f>
        <v>250</v>
      </c>
      <c r="F405" s="93"/>
      <c r="G405" s="93">
        <f>G400</f>
        <v>150</v>
      </c>
      <c r="H405" s="93" t="str">
        <f t="shared" ref="H405:H412" si="62">CONCATENATE(" (list ",E405," ",G405," ",")")</f>
        <v xml:space="preserve"> (list 250 150 )</v>
      </c>
      <c r="I405" s="93" t="s">
        <v>104</v>
      </c>
      <c r="J405" s="94"/>
      <c r="K405" s="95"/>
      <c r="U405" s="62" t="str">
        <f>CONCATENATE(U404,$M$11,V404)</f>
        <v>(command "color" 3 "")</v>
      </c>
      <c r="AG405" s="90" t="str">
        <f t="shared" ref="AG405" si="63">U405</f>
        <v>(command "color" 3 "")</v>
      </c>
    </row>
    <row r="406" spans="1:33" hidden="1" x14ac:dyDescent="0.25">
      <c r="A406" s="100" t="s">
        <v>108</v>
      </c>
      <c r="B406" s="100">
        <v>150</v>
      </c>
      <c r="C406" s="17"/>
      <c r="D406" s="127"/>
      <c r="E406" s="93">
        <f>E405+B406</f>
        <v>400</v>
      </c>
      <c r="F406" s="93"/>
      <c r="G406" s="93">
        <f>G405+B407</f>
        <v>300</v>
      </c>
      <c r="H406" s="93" t="str">
        <f t="shared" si="62"/>
        <v xml:space="preserve"> (list 400 300 )</v>
      </c>
      <c r="I406" s="93" t="s">
        <v>105</v>
      </c>
      <c r="J406" s="94"/>
      <c r="K406" s="95"/>
      <c r="U406" s="1" t="s">
        <v>84</v>
      </c>
      <c r="V406" s="1" t="s">
        <v>22</v>
      </c>
      <c r="W406" s="5" t="s">
        <v>23</v>
      </c>
      <c r="X406" s="1" t="s">
        <v>7</v>
      </c>
      <c r="AG406" s="90"/>
    </row>
    <row r="407" spans="1:33" hidden="1" x14ac:dyDescent="0.25">
      <c r="A407" s="100" t="s">
        <v>109</v>
      </c>
      <c r="B407" s="100">
        <v>150</v>
      </c>
      <c r="C407" s="17"/>
      <c r="D407" s="127"/>
      <c r="E407" s="93">
        <f>E406</f>
        <v>400</v>
      </c>
      <c r="F407" s="93"/>
      <c r="G407" s="93">
        <f>G385</f>
        <v>-225</v>
      </c>
      <c r="H407" s="93" t="str">
        <f t="shared" si="62"/>
        <v xml:space="preserve"> (list 400 -225 )</v>
      </c>
      <c r="I407" s="93" t="s">
        <v>106</v>
      </c>
      <c r="J407" s="94"/>
      <c r="K407" s="95"/>
      <c r="U407" s="62" t="str">
        <f>IF($V$22&gt;(D371-1),IF($F$8="Y",(CONCATENATE(U406,H405,H406,H407,H408,V406,V406,W406,X406)),""),"")</f>
        <v/>
      </c>
      <c r="AG407" s="90" t="str">
        <f>U407</f>
        <v/>
      </c>
    </row>
    <row r="408" spans="1:33" hidden="1" x14ac:dyDescent="0.25">
      <c r="A408" s="100"/>
      <c r="B408" s="100"/>
      <c r="C408" s="17"/>
      <c r="D408" s="127"/>
      <c r="E408" s="93">
        <f>E407+$M$13</f>
        <v>600</v>
      </c>
      <c r="F408" s="93"/>
      <c r="G408" s="93">
        <f>G407</f>
        <v>-225</v>
      </c>
      <c r="H408" s="93" t="str">
        <f t="shared" si="62"/>
        <v xml:space="preserve"> (list 600 -225 )</v>
      </c>
      <c r="I408" s="93" t="s">
        <v>110</v>
      </c>
      <c r="J408" s="94"/>
      <c r="K408" s="95"/>
      <c r="U408" s="1" t="s">
        <v>81</v>
      </c>
      <c r="V408" s="1" t="s">
        <v>15</v>
      </c>
      <c r="AG408" s="90"/>
    </row>
    <row r="409" spans="1:33" hidden="1" x14ac:dyDescent="0.25">
      <c r="A409" s="100"/>
      <c r="B409" s="100"/>
      <c r="C409" s="17"/>
      <c r="D409" s="127"/>
      <c r="E409" s="94">
        <f>E402-3*B406</f>
        <v>-200</v>
      </c>
      <c r="F409" s="94"/>
      <c r="G409" s="94">
        <f>G404</f>
        <v>300</v>
      </c>
      <c r="H409" s="94" t="str">
        <f t="shared" si="62"/>
        <v xml:space="preserve"> (list -200 300 )</v>
      </c>
      <c r="I409" s="94" t="s">
        <v>122</v>
      </c>
      <c r="J409" s="96"/>
      <c r="K409" s="95"/>
      <c r="U409" s="62" t="str">
        <f>CONCATENATE(U408,$M$11,V408)</f>
        <v>(command "color" 3 "")</v>
      </c>
      <c r="AG409" s="90" t="str">
        <f>U409</f>
        <v>(command "color" 3 "")</v>
      </c>
    </row>
    <row r="410" spans="1:33" hidden="1" x14ac:dyDescent="0.25">
      <c r="A410" s="100"/>
      <c r="B410" s="100"/>
      <c r="C410" s="17"/>
      <c r="D410" s="127"/>
      <c r="E410" s="94">
        <f>E409+B406</f>
        <v>-50</v>
      </c>
      <c r="F410" s="94"/>
      <c r="G410" s="94">
        <f>G409-B407</f>
        <v>150</v>
      </c>
      <c r="H410" s="94" t="str">
        <f t="shared" si="62"/>
        <v xml:space="preserve"> (list -50 150 )</v>
      </c>
      <c r="I410" s="94" t="s">
        <v>123</v>
      </c>
      <c r="J410" s="96"/>
      <c r="K410" s="95"/>
      <c r="U410" s="1" t="s">
        <v>84</v>
      </c>
      <c r="V410" s="1" t="s">
        <v>22</v>
      </c>
      <c r="W410" s="5" t="s">
        <v>23</v>
      </c>
      <c r="X410" s="1" t="s">
        <v>7</v>
      </c>
      <c r="AG410" s="90"/>
    </row>
    <row r="411" spans="1:33" hidden="1" x14ac:dyDescent="0.25">
      <c r="A411" s="100"/>
      <c r="B411" s="100"/>
      <c r="C411" s="17"/>
      <c r="D411" s="127"/>
      <c r="E411" s="94">
        <f>E410</f>
        <v>-50</v>
      </c>
      <c r="F411" s="94"/>
      <c r="G411" s="94">
        <f>G382</f>
        <v>675</v>
      </c>
      <c r="H411" s="94" t="str">
        <f t="shared" si="62"/>
        <v xml:space="preserve"> (list -50 675 )</v>
      </c>
      <c r="I411" s="94" t="s">
        <v>124</v>
      </c>
      <c r="J411" s="96"/>
      <c r="K411" s="95"/>
      <c r="U411" s="62" t="str">
        <f>IF($V$22&gt;(D371-1),IF($I$8="Y",(CONCATENATE(U410,H409,H410,H411,H412,V410,V410,W410,X410)),""),"")</f>
        <v/>
      </c>
      <c r="AG411" s="90" t="str">
        <f>U411</f>
        <v/>
      </c>
    </row>
    <row r="412" spans="1:33" hidden="1" x14ac:dyDescent="0.25">
      <c r="A412" s="100"/>
      <c r="B412" s="100"/>
      <c r="C412" s="17"/>
      <c r="D412" s="127"/>
      <c r="E412" s="94">
        <f>E411+$M$13</f>
        <v>150</v>
      </c>
      <c r="F412" s="94"/>
      <c r="G412" s="94">
        <f>G411</f>
        <v>675</v>
      </c>
      <c r="H412" s="94" t="str">
        <f t="shared" si="62"/>
        <v xml:space="preserve"> (list 150 675 )</v>
      </c>
      <c r="I412" s="94" t="s">
        <v>125</v>
      </c>
      <c r="J412" s="96"/>
      <c r="K412" s="95"/>
      <c r="U412" s="1" t="s">
        <v>86</v>
      </c>
      <c r="V412" s="1" t="s">
        <v>27</v>
      </c>
      <c r="X412" s="1" t="s">
        <v>28</v>
      </c>
      <c r="Y412" s="1" t="s">
        <v>19</v>
      </c>
      <c r="AG412" s="90"/>
    </row>
    <row r="413" spans="1:33" hidden="1" x14ac:dyDescent="0.25">
      <c r="A413" s="100" t="s">
        <v>62</v>
      </c>
      <c r="B413" s="100" t="s">
        <v>127</v>
      </c>
      <c r="C413" s="17"/>
      <c r="D413" s="127"/>
      <c r="E413" s="93">
        <f>E408+25</f>
        <v>625</v>
      </c>
      <c r="F413" s="93"/>
      <c r="G413" s="93">
        <f>G408-$M$15/2</f>
        <v>-275</v>
      </c>
      <c r="H413" s="93" t="str">
        <f>CONCATENATE(" (list ",E413," ",G413," ",")")</f>
        <v xml:space="preserve"> (list 625 -275 )</v>
      </c>
      <c r="I413" s="93" t="s">
        <v>119</v>
      </c>
      <c r="J413" s="94"/>
      <c r="K413" s="95"/>
      <c r="U413" s="62" t="str">
        <f>IF($V$22&gt;(D371-1),IF($F$8="Y",CONCATENATE($U$90,H413," ",$V$90,M344,$V$90,$X$90,A413,$Y$90),""),"")</f>
        <v/>
      </c>
      <c r="AG413" s="90" t="str">
        <f>U413</f>
        <v/>
      </c>
    </row>
    <row r="414" spans="1:33" hidden="1" x14ac:dyDescent="0.25">
      <c r="A414" s="100" t="s">
        <v>62</v>
      </c>
      <c r="B414" s="100" t="s">
        <v>126</v>
      </c>
      <c r="C414" s="17"/>
      <c r="D414" s="127"/>
      <c r="E414" s="97">
        <f>E412+25</f>
        <v>175</v>
      </c>
      <c r="F414" s="97"/>
      <c r="G414" s="97">
        <f>G412-$M$15/2</f>
        <v>625</v>
      </c>
      <c r="H414" s="97" t="str">
        <f>CONCATENATE(" (list ",E414," ",G414," ",")")</f>
        <v xml:space="preserve"> (list 175 625 )</v>
      </c>
      <c r="I414" s="97" t="s">
        <v>120</v>
      </c>
      <c r="J414" s="98"/>
      <c r="K414" s="99"/>
      <c r="U414" s="62" t="str">
        <f>IF($V$22&gt;(D371-1),IF($I$8="Y",CONCATENATE(U412,H414," ",V412,M344,V412,X412,A414,Y412),""),"")</f>
        <v/>
      </c>
      <c r="AG414" s="90" t="str">
        <f>U414</f>
        <v/>
      </c>
    </row>
    <row r="415" spans="1:33" hidden="1" x14ac:dyDescent="0.25">
      <c r="A415" s="8"/>
      <c r="B415" s="8"/>
      <c r="C415" s="8"/>
      <c r="D415" s="8"/>
      <c r="E415" s="8"/>
      <c r="F415" s="8"/>
      <c r="G415" s="8"/>
      <c r="H415" s="17"/>
      <c r="I415" s="8"/>
      <c r="J415" s="8"/>
      <c r="K415" s="8"/>
      <c r="U415" s="35"/>
      <c r="AD415" s="43"/>
    </row>
    <row r="416" spans="1:33" hidden="1" x14ac:dyDescent="0.25"/>
    <row r="417" spans="1:33" ht="21" hidden="1" x14ac:dyDescent="0.35">
      <c r="A417" s="13"/>
      <c r="B417" s="13"/>
      <c r="C417" s="14"/>
      <c r="D417" s="103">
        <f>D371+1</f>
        <v>8</v>
      </c>
      <c r="E417" s="15">
        <f>$B$7+$H$7/2+B427+C428/2</f>
        <v>18500</v>
      </c>
      <c r="F417" s="15"/>
      <c r="G417" s="15">
        <f>$C$7-$C$12</f>
        <v>-500</v>
      </c>
      <c r="H417" s="15" t="str">
        <f t="shared" ref="H417:H424" si="64">CONCATENATE(" (list ",E417," ",G417," ",")")</f>
        <v xml:space="preserve"> (list 18500 -500 )</v>
      </c>
      <c r="I417" s="8" t="s">
        <v>47</v>
      </c>
      <c r="J417" s="8"/>
      <c r="K417" s="8"/>
      <c r="U417" s="1" t="s">
        <v>81</v>
      </c>
      <c r="V417" s="1" t="s">
        <v>15</v>
      </c>
    </row>
    <row r="418" spans="1:33" hidden="1" x14ac:dyDescent="0.25">
      <c r="A418" s="13"/>
      <c r="B418" s="13"/>
      <c r="C418" s="14"/>
      <c r="D418" s="8"/>
      <c r="E418" s="15">
        <f>E417</f>
        <v>18500</v>
      </c>
      <c r="F418" s="15"/>
      <c r="G418" s="15">
        <f>$C$7</f>
        <v>0</v>
      </c>
      <c r="H418" s="15" t="str">
        <f t="shared" si="64"/>
        <v xml:space="preserve"> (list 18500 0 )</v>
      </c>
      <c r="I418" s="8" t="s">
        <v>48</v>
      </c>
      <c r="J418" s="8"/>
      <c r="K418" s="8"/>
      <c r="U418" s="7" t="str">
        <f>CONCATENATE(U417,$M$9,V417)</f>
        <v>(command "color" 1 "")</v>
      </c>
      <c r="AG418" s="45" t="str">
        <f t="shared" si="49"/>
        <v>(command "color" 1 "")</v>
      </c>
    </row>
    <row r="419" spans="1:33" hidden="1" x14ac:dyDescent="0.25">
      <c r="A419" s="13"/>
      <c r="B419" s="13"/>
      <c r="C419" s="14"/>
      <c r="D419" s="8"/>
      <c r="E419" s="15">
        <f>$B$7+$H$7/2+B428-C429/2</f>
        <v>24000</v>
      </c>
      <c r="F419" s="15"/>
      <c r="G419" s="15">
        <f>G418</f>
        <v>0</v>
      </c>
      <c r="H419" s="15" t="str">
        <f t="shared" si="64"/>
        <v xml:space="preserve"> (list 24000 0 )</v>
      </c>
      <c r="I419" s="8" t="s">
        <v>49</v>
      </c>
      <c r="J419" s="8"/>
      <c r="K419" s="8"/>
      <c r="U419" s="1" t="s">
        <v>79</v>
      </c>
      <c r="V419" s="1" t="s">
        <v>15</v>
      </c>
    </row>
    <row r="420" spans="1:33" hidden="1" x14ac:dyDescent="0.25">
      <c r="A420" s="13"/>
      <c r="B420" s="13"/>
      <c r="C420" s="14"/>
      <c r="D420" s="8"/>
      <c r="E420" s="15">
        <f>$B$7+$H$7/2+B428-C429/2</f>
        <v>24000</v>
      </c>
      <c r="F420" s="15"/>
      <c r="G420" s="15">
        <f>G417</f>
        <v>-500</v>
      </c>
      <c r="H420" s="15" t="str">
        <f t="shared" si="64"/>
        <v xml:space="preserve"> (list 24000 -500 )</v>
      </c>
      <c r="I420" s="8" t="s">
        <v>50</v>
      </c>
      <c r="J420" s="8"/>
      <c r="K420" s="8"/>
      <c r="U420" s="9" t="str">
        <f>IF($V$22&gt;(D417-1),CONCATENATE(U419,H417,H418,H419,H420,V419),"")</f>
        <v/>
      </c>
      <c r="AG420" s="45" t="str">
        <f t="shared" si="49"/>
        <v/>
      </c>
    </row>
    <row r="421" spans="1:33" hidden="1" x14ac:dyDescent="0.25">
      <c r="A421" s="13"/>
      <c r="B421" s="13"/>
      <c r="C421" s="14"/>
      <c r="D421" s="8"/>
      <c r="E421" s="16">
        <f>E417</f>
        <v>18500</v>
      </c>
      <c r="F421" s="16"/>
      <c r="G421" s="16">
        <f>$C$7+$C$10+$C$12</f>
        <v>950</v>
      </c>
      <c r="H421" s="16" t="str">
        <f t="shared" si="64"/>
        <v xml:space="preserve"> (list 18500 950 )</v>
      </c>
      <c r="I421" s="8" t="s">
        <v>52</v>
      </c>
      <c r="J421" s="8"/>
      <c r="K421" s="8"/>
      <c r="U421" s="9" t="str">
        <f>IF($V$22&gt;(D417-1),CONCATENATE(U419,H421,H422,H423,H424,V419),"")</f>
        <v/>
      </c>
      <c r="AG421" s="45" t="str">
        <f t="shared" si="49"/>
        <v/>
      </c>
    </row>
    <row r="422" spans="1:33" hidden="1" x14ac:dyDescent="0.25">
      <c r="A422" s="13"/>
      <c r="B422" s="13"/>
      <c r="C422" s="14"/>
      <c r="D422" s="8"/>
      <c r="E422" s="16">
        <f>E418</f>
        <v>18500</v>
      </c>
      <c r="F422" s="16"/>
      <c r="G422" s="16">
        <f>$C$7+$C$10</f>
        <v>450</v>
      </c>
      <c r="H422" s="16" t="str">
        <f t="shared" si="64"/>
        <v xml:space="preserve"> (list 18500 450 )</v>
      </c>
      <c r="I422" s="8" t="s">
        <v>53</v>
      </c>
      <c r="J422" s="8"/>
      <c r="K422" s="8"/>
    </row>
    <row r="423" spans="1:33" hidden="1" x14ac:dyDescent="0.25">
      <c r="A423" s="13"/>
      <c r="B423" s="13"/>
      <c r="C423" s="14"/>
      <c r="D423" s="8"/>
      <c r="E423" s="16">
        <f>E419</f>
        <v>24000</v>
      </c>
      <c r="F423" s="16"/>
      <c r="G423" s="16">
        <f>G422</f>
        <v>450</v>
      </c>
      <c r="H423" s="16" t="str">
        <f t="shared" si="64"/>
        <v xml:space="preserve"> (list 24000 450 )</v>
      </c>
      <c r="I423" s="8" t="s">
        <v>54</v>
      </c>
      <c r="J423" s="8"/>
      <c r="K423" s="8"/>
    </row>
    <row r="424" spans="1:33" hidden="1" x14ac:dyDescent="0.25">
      <c r="A424" s="13"/>
      <c r="B424" s="13"/>
      <c r="C424" s="14"/>
      <c r="D424" s="8"/>
      <c r="E424" s="16">
        <f>E420</f>
        <v>24000</v>
      </c>
      <c r="F424" s="16"/>
      <c r="G424" s="16">
        <f>G421</f>
        <v>950</v>
      </c>
      <c r="H424" s="16" t="str">
        <f t="shared" si="64"/>
        <v xml:space="preserve"> (list 24000 950 )</v>
      </c>
      <c r="I424" s="8" t="s">
        <v>51</v>
      </c>
      <c r="J424" s="8"/>
      <c r="K424" s="8"/>
      <c r="U424" s="1" t="s">
        <v>81</v>
      </c>
      <c r="V424" s="1" t="s">
        <v>15</v>
      </c>
    </row>
    <row r="425" spans="1:33" hidden="1" x14ac:dyDescent="0.25">
      <c r="A425" s="13"/>
      <c r="B425" s="8"/>
      <c r="C425" s="8"/>
      <c r="D425" s="8"/>
      <c r="E425" s="8"/>
      <c r="F425" s="8"/>
      <c r="G425" s="8"/>
      <c r="H425" s="8"/>
      <c r="I425" s="8"/>
      <c r="J425" s="8"/>
      <c r="K425" s="8"/>
      <c r="U425" s="7" t="str">
        <f>CONCATENATE(U424,$M$11,V424)</f>
        <v>(command "color" 3 "")</v>
      </c>
      <c r="AG425" s="45" t="str">
        <f t="shared" si="49"/>
        <v>(command "color" 3 "")</v>
      </c>
    </row>
    <row r="426" spans="1:33" hidden="1" x14ac:dyDescent="0.25">
      <c r="A426" s="22" t="s">
        <v>3</v>
      </c>
      <c r="B426" s="22" t="s">
        <v>9</v>
      </c>
      <c r="C426" s="23" t="s">
        <v>0</v>
      </c>
      <c r="D426" s="8"/>
      <c r="E426" s="17">
        <f>(E422+E423)/2</f>
        <v>21250</v>
      </c>
      <c r="F426" s="17"/>
      <c r="G426" s="17">
        <f>$C$7+$C$10-$C$14</f>
        <v>375</v>
      </c>
      <c r="H426" s="17" t="str">
        <f t="shared" ref="H426:H439" si="65">CONCATENATE(" (list ",E426," ",G426," ",")")</f>
        <v xml:space="preserve"> (list 21250 375 )</v>
      </c>
      <c r="I426" s="18" t="s">
        <v>36</v>
      </c>
      <c r="J426" s="18"/>
      <c r="K426" s="18"/>
      <c r="U426" s="1" t="s">
        <v>84</v>
      </c>
      <c r="V426" s="1" t="s">
        <v>22</v>
      </c>
      <c r="W426" s="5" t="s">
        <v>23</v>
      </c>
      <c r="X426" s="1" t="s">
        <v>7</v>
      </c>
    </row>
    <row r="427" spans="1:33" hidden="1" x14ac:dyDescent="0.25">
      <c r="A427" s="13"/>
      <c r="B427" s="8">
        <f>VLOOKUP(D417-1,$D$7:$H$17,4)</f>
        <v>18000</v>
      </c>
      <c r="C427" s="8"/>
      <c r="D427" s="8"/>
      <c r="E427" s="17">
        <f>E426</f>
        <v>21250</v>
      </c>
      <c r="F427" s="17"/>
      <c r="G427" s="17">
        <f>G426+$M$12</f>
        <v>675</v>
      </c>
      <c r="H427" s="17" t="str">
        <f t="shared" si="65"/>
        <v xml:space="preserve"> (list 21250 675 )</v>
      </c>
      <c r="I427" s="18" t="s">
        <v>37</v>
      </c>
      <c r="J427" s="18"/>
      <c r="K427" s="18"/>
      <c r="U427" s="7" t="str">
        <f>IF($V$22&gt;(D417-1),CONCATENATE(U426,H426,H427,H428,V426,V426,W426,X426),"")</f>
        <v/>
      </c>
      <c r="AG427" s="45" t="str">
        <f t="shared" si="49"/>
        <v/>
      </c>
    </row>
    <row r="428" spans="1:33" hidden="1" x14ac:dyDescent="0.25">
      <c r="A428" s="13"/>
      <c r="B428" s="8">
        <f>B427+A430</f>
        <v>24000</v>
      </c>
      <c r="C428" s="8">
        <f>VLOOKUP(D417,$D$7:$H$17,5)</f>
        <v>500</v>
      </c>
      <c r="D428" s="8"/>
      <c r="E428" s="17">
        <f>E427+$M$13</f>
        <v>21450</v>
      </c>
      <c r="F428" s="17"/>
      <c r="G428" s="17">
        <f>G427</f>
        <v>675</v>
      </c>
      <c r="H428" s="17" t="str">
        <f t="shared" si="65"/>
        <v xml:space="preserve"> (list 21450 675 )</v>
      </c>
      <c r="I428" s="18" t="s">
        <v>38</v>
      </c>
      <c r="J428" s="18"/>
      <c r="K428" s="18"/>
    </row>
    <row r="429" spans="1:33" hidden="1" x14ac:dyDescent="0.25">
      <c r="A429" s="13">
        <f>VLOOKUP(D417-1,$D$7:$E$17,2)</f>
        <v>6000</v>
      </c>
      <c r="B429" s="8"/>
      <c r="C429" s="8">
        <f>VLOOKUP(D417+1,$D$7:$H$17,5)</f>
        <v>500</v>
      </c>
      <c r="D429" s="8"/>
      <c r="E429" s="19">
        <f>E426</f>
        <v>21250</v>
      </c>
      <c r="F429" s="19"/>
      <c r="G429" s="19">
        <f>$C$7+$C$14</f>
        <v>75</v>
      </c>
      <c r="H429" s="19" t="str">
        <f t="shared" si="65"/>
        <v xml:space="preserve"> (list 21250 75 )</v>
      </c>
      <c r="I429" s="19" t="s">
        <v>39</v>
      </c>
      <c r="J429" s="19"/>
      <c r="K429" s="19"/>
      <c r="U429" s="1" t="s">
        <v>84</v>
      </c>
      <c r="V429" s="1" t="s">
        <v>22</v>
      </c>
      <c r="W429" s="5" t="s">
        <v>23</v>
      </c>
      <c r="X429" s="1" t="s">
        <v>7</v>
      </c>
    </row>
    <row r="430" spans="1:33" hidden="1" x14ac:dyDescent="0.25">
      <c r="A430" s="13">
        <f>VLOOKUP(D417,$D$7:$H$17,2)</f>
        <v>6000</v>
      </c>
      <c r="B430" s="8"/>
      <c r="C430" s="8"/>
      <c r="D430" s="8"/>
      <c r="E430" s="19">
        <f>E429</f>
        <v>21250</v>
      </c>
      <c r="F430" s="19"/>
      <c r="G430" s="19">
        <f>G429-$M$12</f>
        <v>-225</v>
      </c>
      <c r="H430" s="19" t="str">
        <f t="shared" si="65"/>
        <v xml:space="preserve"> (list 21250 -225 )</v>
      </c>
      <c r="I430" s="19" t="s">
        <v>40</v>
      </c>
      <c r="J430" s="19"/>
      <c r="K430" s="19"/>
      <c r="U430" s="7" t="str">
        <f>IF($V$22&gt;(D417-1),CONCATENATE(U429,H429,H430,H431,V429,V429,W429,X429),"")</f>
        <v/>
      </c>
      <c r="AG430" s="45" t="str">
        <f t="shared" si="49"/>
        <v/>
      </c>
    </row>
    <row r="431" spans="1:33" hidden="1" x14ac:dyDescent="0.25">
      <c r="A431" s="13"/>
      <c r="B431" s="8"/>
      <c r="C431" s="8"/>
      <c r="D431" s="8"/>
      <c r="E431" s="19">
        <f>E430+$M$13</f>
        <v>21450</v>
      </c>
      <c r="F431" s="19"/>
      <c r="G431" s="19">
        <f>G430</f>
        <v>-225</v>
      </c>
      <c r="H431" s="19" t="str">
        <f t="shared" si="65"/>
        <v xml:space="preserve"> (list 21450 -225 )</v>
      </c>
      <c r="I431" s="19" t="s">
        <v>41</v>
      </c>
      <c r="J431" s="19"/>
      <c r="K431" s="19"/>
      <c r="U431" s="1" t="s">
        <v>82</v>
      </c>
      <c r="X431" s="1" t="s">
        <v>7</v>
      </c>
    </row>
    <row r="432" spans="1:33" hidden="1" x14ac:dyDescent="0.25">
      <c r="A432" s="13"/>
      <c r="B432" s="8"/>
      <c r="C432" s="8"/>
      <c r="D432" s="8"/>
      <c r="E432" s="20">
        <f>$B$7+$H$7/2+B427+C428/2</f>
        <v>18500</v>
      </c>
      <c r="F432" s="20"/>
      <c r="G432" s="20">
        <f>$C$7-$C$12</f>
        <v>-500</v>
      </c>
      <c r="H432" s="20" t="str">
        <f t="shared" si="65"/>
        <v xml:space="preserve"> (list 18500 -500 )</v>
      </c>
      <c r="I432" s="20" t="s">
        <v>33</v>
      </c>
      <c r="J432" s="20"/>
      <c r="K432" s="20"/>
      <c r="U432" s="9" t="str">
        <f>IF($V$22&gt;(D417-1),CONCATENATE(U431,H432,H433,H434,X431),"")</f>
        <v/>
      </c>
      <c r="AG432" s="45" t="str">
        <f t="shared" si="49"/>
        <v/>
      </c>
    </row>
    <row r="433" spans="1:33" hidden="1" x14ac:dyDescent="0.25">
      <c r="A433" s="13"/>
      <c r="B433" s="8"/>
      <c r="C433" s="8"/>
      <c r="D433" s="8"/>
      <c r="E433" s="20">
        <f>$B$7+$H$7/2+B428-C429/2</f>
        <v>24000</v>
      </c>
      <c r="F433" s="20"/>
      <c r="G433" s="20">
        <f>$C$7-$C$12</f>
        <v>-500</v>
      </c>
      <c r="H433" s="20" t="str">
        <f t="shared" si="65"/>
        <v xml:space="preserve"> (list 24000 -500 )</v>
      </c>
      <c r="I433" s="20" t="s">
        <v>34</v>
      </c>
      <c r="J433" s="20"/>
      <c r="K433" s="20"/>
      <c r="U433" s="1" t="s">
        <v>86</v>
      </c>
      <c r="V433" s="1" t="s">
        <v>27</v>
      </c>
      <c r="W433" s="1" t="s">
        <v>29</v>
      </c>
      <c r="X433" s="1" t="s">
        <v>28</v>
      </c>
      <c r="AA433" s="1" t="s">
        <v>30</v>
      </c>
      <c r="AB433" s="1" t="s">
        <v>31</v>
      </c>
    </row>
    <row r="434" spans="1:33" hidden="1" x14ac:dyDescent="0.25">
      <c r="A434" s="66" t="s">
        <v>29</v>
      </c>
      <c r="B434" s="8"/>
      <c r="C434" s="8"/>
      <c r="D434" s="8"/>
      <c r="E434" s="20">
        <f>E433</f>
        <v>24000</v>
      </c>
      <c r="F434" s="20"/>
      <c r="G434" s="20">
        <f>G433</f>
        <v>-500</v>
      </c>
      <c r="H434" s="20" t="str">
        <f t="shared" si="65"/>
        <v xml:space="preserve"> (list 24000 -500 )</v>
      </c>
      <c r="I434" s="20" t="s">
        <v>35</v>
      </c>
      <c r="J434" s="20"/>
      <c r="K434" s="20"/>
      <c r="U434" s="9" t="str">
        <f>IF($V$22&gt;(D417-1),CONCATENATE(U433,AA433,AB433,H435," ",V433,$M$15,V433,X433,W433,X431),"")</f>
        <v/>
      </c>
      <c r="AG434" s="45" t="str">
        <f t="shared" si="49"/>
        <v/>
      </c>
    </row>
    <row r="435" spans="1:33" hidden="1" x14ac:dyDescent="0.25">
      <c r="A435" s="13"/>
      <c r="B435" s="8"/>
      <c r="C435" s="8"/>
      <c r="D435" s="8"/>
      <c r="E435" s="20">
        <f>(E432+E433)/2</f>
        <v>21250</v>
      </c>
      <c r="F435" s="20"/>
      <c r="G435" s="20">
        <f>G434+$C$14</f>
        <v>-425</v>
      </c>
      <c r="H435" s="20" t="str">
        <f t="shared" si="65"/>
        <v xml:space="preserve"> (list 21250 -425 )</v>
      </c>
      <c r="I435" s="20" t="s">
        <v>117</v>
      </c>
      <c r="J435" s="20"/>
      <c r="K435" s="20"/>
    </row>
    <row r="436" spans="1:33" hidden="1" x14ac:dyDescent="0.25">
      <c r="A436" s="13"/>
      <c r="B436" s="8"/>
      <c r="C436" s="8"/>
      <c r="D436" s="8"/>
      <c r="E436" s="17">
        <f>E432+$C$15</f>
        <v>19000</v>
      </c>
      <c r="F436" s="17"/>
      <c r="G436" s="17">
        <f>G426+$C$14/2</f>
        <v>412.5</v>
      </c>
      <c r="H436" s="17" t="str">
        <f t="shared" si="65"/>
        <v xml:space="preserve"> (list 19000 412.5 )</v>
      </c>
      <c r="I436" s="17" t="s">
        <v>42</v>
      </c>
      <c r="J436" s="17"/>
      <c r="K436" s="17"/>
      <c r="U436" s="1" t="s">
        <v>79</v>
      </c>
      <c r="V436" s="1" t="s">
        <v>15</v>
      </c>
    </row>
    <row r="437" spans="1:33" hidden="1" x14ac:dyDescent="0.25">
      <c r="A437" s="13"/>
      <c r="B437" s="8"/>
      <c r="C437" s="8"/>
      <c r="D437" s="8"/>
      <c r="E437" s="17">
        <f>E432+$C$15</f>
        <v>19000</v>
      </c>
      <c r="F437" s="17"/>
      <c r="G437" s="17">
        <f>G429-$C$14/2</f>
        <v>37.5</v>
      </c>
      <c r="H437" s="17" t="str">
        <f t="shared" si="65"/>
        <v xml:space="preserve"> (list 19000 37.5 )</v>
      </c>
      <c r="I437" s="17" t="s">
        <v>43</v>
      </c>
      <c r="J437" s="17"/>
      <c r="K437" s="17"/>
      <c r="U437" s="10" t="str">
        <f>IF($V$22&gt;(D417-1),CONCATENATE($U$159,H436,H437,V436),"")</f>
        <v/>
      </c>
      <c r="AG437" s="45" t="str">
        <f t="shared" si="49"/>
        <v/>
      </c>
    </row>
    <row r="438" spans="1:33" hidden="1" x14ac:dyDescent="0.25">
      <c r="A438" s="13"/>
      <c r="B438" s="8"/>
      <c r="C438" s="8"/>
      <c r="D438" s="8"/>
      <c r="E438" s="17">
        <f>E436+200</f>
        <v>19200</v>
      </c>
      <c r="F438" s="17"/>
      <c r="G438" s="17">
        <f>G436</f>
        <v>412.5</v>
      </c>
      <c r="H438" s="17" t="str">
        <f t="shared" si="65"/>
        <v xml:space="preserve"> (list 19200 412.5 )</v>
      </c>
      <c r="I438" s="17" t="s">
        <v>44</v>
      </c>
      <c r="J438" s="17"/>
      <c r="K438" s="17"/>
      <c r="U438" s="10" t="str">
        <f>IF($V$22&gt;(D417-1),CONCATENATE($U$159,H438,H439,V436),"")</f>
        <v/>
      </c>
      <c r="AG438" s="45" t="str">
        <f t="shared" si="49"/>
        <v/>
      </c>
    </row>
    <row r="439" spans="1:33" hidden="1" x14ac:dyDescent="0.25">
      <c r="A439" s="13"/>
      <c r="B439" s="8"/>
      <c r="C439" s="8"/>
      <c r="D439" s="8"/>
      <c r="E439" s="17">
        <f>E437+200</f>
        <v>19200</v>
      </c>
      <c r="F439" s="17"/>
      <c r="G439" s="17">
        <f>G437</f>
        <v>37.5</v>
      </c>
      <c r="H439" s="17" t="str">
        <f t="shared" si="65"/>
        <v xml:space="preserve"> (list 19200 37.5 )</v>
      </c>
      <c r="I439" s="17" t="s">
        <v>45</v>
      </c>
      <c r="J439" s="17"/>
      <c r="K439" s="17"/>
    </row>
    <row r="440" spans="1:33" hidden="1" x14ac:dyDescent="0.25">
      <c r="A440" s="13"/>
      <c r="B440" s="8"/>
      <c r="C440" s="8"/>
      <c r="D440" s="8"/>
      <c r="E440" s="21" t="s">
        <v>21</v>
      </c>
      <c r="F440" s="21"/>
      <c r="G440" s="8"/>
      <c r="H440" s="8"/>
      <c r="I440" s="8"/>
      <c r="J440" s="8"/>
      <c r="K440" s="8"/>
      <c r="U440" s="1" t="s">
        <v>86</v>
      </c>
      <c r="V440" s="1" t="s">
        <v>27</v>
      </c>
      <c r="W440" s="1" t="s">
        <v>63</v>
      </c>
      <c r="X440" s="1" t="s">
        <v>28</v>
      </c>
      <c r="AA440" s="1" t="s">
        <v>30</v>
      </c>
      <c r="AB440" s="1" t="s">
        <v>32</v>
      </c>
    </row>
    <row r="441" spans="1:33" hidden="1" x14ac:dyDescent="0.25">
      <c r="A441" s="8" t="s">
        <v>62</v>
      </c>
      <c r="B441" s="8" t="s">
        <v>115</v>
      </c>
      <c r="C441" s="8"/>
      <c r="D441" s="8"/>
      <c r="E441" s="8">
        <f>E428+50</f>
        <v>21500</v>
      </c>
      <c r="F441" s="8"/>
      <c r="G441" s="8">
        <f>G428</f>
        <v>675</v>
      </c>
      <c r="H441" s="17" t="str">
        <f t="shared" ref="H441:H442" si="66">CONCATENATE(" (list ",E441," ",G441," ",")")</f>
        <v xml:space="preserve"> (list 21500 675 )</v>
      </c>
      <c r="I441" s="8" t="s">
        <v>113</v>
      </c>
      <c r="J441" s="8"/>
      <c r="K441" s="8"/>
      <c r="U441" s="6" t="str">
        <f>IF($V$22&gt;(D417-1),CONCATENATE(U440,AA440,AB440,H441," ",V440,$M$15,V440,X440,A441,X441),"")</f>
        <v/>
      </c>
      <c r="V441" s="1" t="s">
        <v>22</v>
      </c>
      <c r="W441" s="5" t="s">
        <v>23</v>
      </c>
      <c r="X441" s="1" t="s">
        <v>7</v>
      </c>
      <c r="AG441" s="45" t="str">
        <f t="shared" ref="AG441:AG558" si="67">U441</f>
        <v/>
      </c>
    </row>
    <row r="442" spans="1:33" hidden="1" x14ac:dyDescent="0.25">
      <c r="A442" s="8" t="s">
        <v>62</v>
      </c>
      <c r="B442" s="8" t="s">
        <v>116</v>
      </c>
      <c r="C442" s="8"/>
      <c r="D442" s="8"/>
      <c r="E442" s="8">
        <f>E431+50</f>
        <v>21500</v>
      </c>
      <c r="F442" s="8"/>
      <c r="G442" s="8">
        <f>G431</f>
        <v>-225</v>
      </c>
      <c r="H442" s="17" t="str">
        <f t="shared" si="66"/>
        <v xml:space="preserve"> (list 21500 -225 )</v>
      </c>
      <c r="I442" s="8" t="s">
        <v>114</v>
      </c>
      <c r="J442" s="8"/>
      <c r="K442" s="8"/>
      <c r="U442" s="6" t="str">
        <f>IF($V$22&gt;(D417-1),CONCATENATE(U440,AA440,AB440,H442," ",V440,$M$15,V440,X440,A442,X441),"")</f>
        <v/>
      </c>
      <c r="AD442" s="43"/>
      <c r="AG442" s="45" t="str">
        <f t="shared" si="67"/>
        <v/>
      </c>
    </row>
    <row r="443" spans="1:33" hidden="1" x14ac:dyDescent="0.25">
      <c r="A443" s="6"/>
      <c r="B443" s="6"/>
      <c r="C443" s="6"/>
      <c r="D443" s="6"/>
      <c r="E443" s="6"/>
      <c r="F443" s="6"/>
      <c r="G443" s="6"/>
      <c r="H443" s="102"/>
      <c r="I443" s="6"/>
      <c r="J443" s="6"/>
      <c r="K443" s="6"/>
      <c r="U443" s="6"/>
      <c r="AD443" s="43"/>
    </row>
    <row r="444" spans="1:33" ht="15" hidden="1" customHeight="1" x14ac:dyDescent="0.25">
      <c r="A444" s="91" t="s">
        <v>118</v>
      </c>
      <c r="B444" s="91">
        <f>$E$14</f>
        <v>0</v>
      </c>
      <c r="C444" s="8"/>
      <c r="D444" s="127" t="s">
        <v>131</v>
      </c>
      <c r="E444" s="8"/>
      <c r="F444" s="8"/>
      <c r="G444" s="8"/>
      <c r="H444" s="8"/>
      <c r="I444" s="8"/>
      <c r="J444" s="8"/>
      <c r="K444" s="8"/>
      <c r="U444" s="1" t="s">
        <v>81</v>
      </c>
      <c r="V444" s="1" t="s">
        <v>15</v>
      </c>
      <c r="AG444" s="90"/>
    </row>
    <row r="445" spans="1:33" ht="15" hidden="1" customHeight="1" x14ac:dyDescent="0.25">
      <c r="A445" s="91" t="s">
        <v>95</v>
      </c>
      <c r="B445" s="91">
        <f>B444/10</f>
        <v>0</v>
      </c>
      <c r="C445" s="8"/>
      <c r="D445" s="127"/>
      <c r="E445" s="92">
        <f>$B$7+$H$7/2+$G$13+$H$14/2+B445</f>
        <v>250</v>
      </c>
      <c r="F445" s="92"/>
      <c r="G445" s="92">
        <f>$G$78</f>
        <v>150</v>
      </c>
      <c r="H445" s="92" t="str">
        <f t="shared" ref="H445:H448" si="68">CONCATENATE(" (list ",E445," ",G445," ",")")</f>
        <v xml:space="preserve"> (list 250 150 )</v>
      </c>
      <c r="I445" s="92" t="s">
        <v>97</v>
      </c>
      <c r="J445" s="8"/>
      <c r="K445" s="8"/>
      <c r="U445" s="7" t="str">
        <f>CONCATENATE(U444,$M$10,V444)</f>
        <v>(command "color" 2 "")</v>
      </c>
      <c r="AG445" s="90" t="str">
        <f t="shared" ref="AG445" si="69">U445</f>
        <v>(command "color" 2 "")</v>
      </c>
    </row>
    <row r="446" spans="1:33" hidden="1" x14ac:dyDescent="0.25">
      <c r="A446" s="91" t="s">
        <v>96</v>
      </c>
      <c r="B446" s="91">
        <f>FLOOR(B444/3,1)</f>
        <v>0</v>
      </c>
      <c r="C446" s="8"/>
      <c r="D446" s="127"/>
      <c r="E446" s="92">
        <f>$B$7+$H$7/2+$G$14-$H$15/2-B445</f>
        <v>250</v>
      </c>
      <c r="F446" s="92"/>
      <c r="G446" s="92">
        <f>G445</f>
        <v>150</v>
      </c>
      <c r="H446" s="92" t="str">
        <f t="shared" si="68"/>
        <v xml:space="preserve"> (list 250 150 )</v>
      </c>
      <c r="I446" s="92" t="s">
        <v>98</v>
      </c>
      <c r="J446" s="8"/>
      <c r="K446" s="8"/>
      <c r="U446" s="1" t="s">
        <v>79</v>
      </c>
      <c r="V446" s="1" t="s">
        <v>15</v>
      </c>
      <c r="AG446" s="90"/>
    </row>
    <row r="447" spans="1:33" hidden="1" x14ac:dyDescent="0.25">
      <c r="A447" s="91" t="s">
        <v>103</v>
      </c>
      <c r="B447" s="91">
        <f>E446-E445</f>
        <v>0</v>
      </c>
      <c r="C447" s="8"/>
      <c r="D447" s="127"/>
      <c r="E447" s="20">
        <f>$B$7+$H$7/2+$G$13</f>
        <v>250</v>
      </c>
      <c r="F447" s="20"/>
      <c r="G447" s="20">
        <f>$G$82</f>
        <v>300</v>
      </c>
      <c r="H447" s="20" t="str">
        <f t="shared" si="68"/>
        <v xml:space="preserve"> (list 250 300 )</v>
      </c>
      <c r="I447" s="20" t="s">
        <v>100</v>
      </c>
      <c r="J447" s="8" t="s">
        <v>129</v>
      </c>
      <c r="K447" s="8"/>
      <c r="U447" s="62" t="str">
        <f>IF($V$22&gt;(D417-1),IF($I$8="Y",CONCATENATE($U$79,H445,H446,$V$79),""),"")</f>
        <v/>
      </c>
      <c r="AG447" s="90" t="str">
        <f t="shared" ref="AG447:AG449" si="70">U447</f>
        <v/>
      </c>
    </row>
    <row r="448" spans="1:33" hidden="1" x14ac:dyDescent="0.25">
      <c r="A448" s="91"/>
      <c r="B448" s="91"/>
      <c r="C448" s="8"/>
      <c r="D448" s="127"/>
      <c r="E448" s="20">
        <f>E447+B446</f>
        <v>250</v>
      </c>
      <c r="F448" s="20"/>
      <c r="G448" s="20">
        <f>G447</f>
        <v>300</v>
      </c>
      <c r="H448" s="20" t="str">
        <f t="shared" si="68"/>
        <v xml:space="preserve"> (list 250 300 )</v>
      </c>
      <c r="I448" s="20" t="s">
        <v>99</v>
      </c>
      <c r="J448" s="8"/>
      <c r="K448" s="8"/>
      <c r="U448" s="62" t="str">
        <f>IF($V$22&gt;(D417-1),IF($F$9="Y",CONCATENATE($U$79,H447,H448,$V$79),""),"")</f>
        <v/>
      </c>
      <c r="AG448" s="90" t="str">
        <f t="shared" si="70"/>
        <v/>
      </c>
    </row>
    <row r="449" spans="1:33" hidden="1" x14ac:dyDescent="0.25">
      <c r="A449" s="91"/>
      <c r="B449" s="91"/>
      <c r="C449" s="8"/>
      <c r="D449" s="127"/>
      <c r="E449" s="92">
        <f>E447+B444</f>
        <v>250</v>
      </c>
      <c r="F449" s="92"/>
      <c r="G449" s="92">
        <f>G448</f>
        <v>300</v>
      </c>
      <c r="H449" s="92" t="str">
        <f>CONCATENATE(" (list ",E449," ",G449," ",")")</f>
        <v xml:space="preserve"> (list 250 300 )</v>
      </c>
      <c r="I449" s="92" t="s">
        <v>132</v>
      </c>
      <c r="J449" s="8" t="s">
        <v>130</v>
      </c>
      <c r="K449" s="8"/>
      <c r="U449" s="62" t="str">
        <f>IF($V$22&gt;(D417-1),IF($F$10="Y",CONCATENATE($U$79,H449,H450,$V$79),""),"")</f>
        <v/>
      </c>
      <c r="AG449" s="90" t="str">
        <f t="shared" si="70"/>
        <v/>
      </c>
    </row>
    <row r="450" spans="1:33" hidden="1" x14ac:dyDescent="0.25">
      <c r="A450" s="91"/>
      <c r="B450" s="91"/>
      <c r="C450" s="8"/>
      <c r="D450" s="127"/>
      <c r="E450" s="92">
        <f>E449-B446</f>
        <v>250</v>
      </c>
      <c r="F450" s="92"/>
      <c r="G450" s="92">
        <f>G448</f>
        <v>300</v>
      </c>
      <c r="H450" s="92" t="str">
        <f>CONCATENATE(" (list ",E450," ",G450," ",")")</f>
        <v xml:space="preserve"> (list 250 300 )</v>
      </c>
      <c r="I450" s="92" t="s">
        <v>133</v>
      </c>
      <c r="J450" s="8"/>
      <c r="K450" s="8"/>
      <c r="U450" s="1" t="s">
        <v>81</v>
      </c>
      <c r="V450" s="1" t="s">
        <v>15</v>
      </c>
      <c r="AG450" s="90"/>
    </row>
    <row r="451" spans="1:33" hidden="1" x14ac:dyDescent="0.25">
      <c r="A451" s="100" t="s">
        <v>107</v>
      </c>
      <c r="B451" s="100"/>
      <c r="C451" s="17"/>
      <c r="D451" s="127"/>
      <c r="E451" s="93">
        <f>FLOOR(B447*2/3,1)+E445</f>
        <v>250</v>
      </c>
      <c r="F451" s="93"/>
      <c r="G451" s="93">
        <f>G446</f>
        <v>150</v>
      </c>
      <c r="H451" s="93" t="str">
        <f t="shared" ref="H451:H458" si="71">CONCATENATE(" (list ",E451," ",G451," ",")")</f>
        <v xml:space="preserve"> (list 250 150 )</v>
      </c>
      <c r="I451" s="93" t="s">
        <v>104</v>
      </c>
      <c r="J451" s="94"/>
      <c r="K451" s="95"/>
      <c r="U451" s="62" t="str">
        <f>CONCATENATE(U450,$M$11,V450)</f>
        <v>(command "color" 3 "")</v>
      </c>
      <c r="AG451" s="90" t="str">
        <f t="shared" ref="AG451" si="72">U451</f>
        <v>(command "color" 3 "")</v>
      </c>
    </row>
    <row r="452" spans="1:33" hidden="1" x14ac:dyDescent="0.25">
      <c r="A452" s="100" t="s">
        <v>108</v>
      </c>
      <c r="B452" s="100">
        <v>150</v>
      </c>
      <c r="C452" s="17"/>
      <c r="D452" s="127"/>
      <c r="E452" s="93">
        <f>E451+B452</f>
        <v>400</v>
      </c>
      <c r="F452" s="93"/>
      <c r="G452" s="93">
        <f>G451+B453</f>
        <v>300</v>
      </c>
      <c r="H452" s="93" t="str">
        <f t="shared" si="71"/>
        <v xml:space="preserve"> (list 400 300 )</v>
      </c>
      <c r="I452" s="93" t="s">
        <v>105</v>
      </c>
      <c r="J452" s="94"/>
      <c r="K452" s="95"/>
      <c r="U452" s="1" t="s">
        <v>84</v>
      </c>
      <c r="V452" s="1" t="s">
        <v>22</v>
      </c>
      <c r="W452" s="5" t="s">
        <v>23</v>
      </c>
      <c r="X452" s="1" t="s">
        <v>7</v>
      </c>
      <c r="AG452" s="90"/>
    </row>
    <row r="453" spans="1:33" hidden="1" x14ac:dyDescent="0.25">
      <c r="A453" s="100" t="s">
        <v>109</v>
      </c>
      <c r="B453" s="100">
        <v>150</v>
      </c>
      <c r="C453" s="17"/>
      <c r="D453" s="127"/>
      <c r="E453" s="93">
        <f>E452</f>
        <v>400</v>
      </c>
      <c r="F453" s="93"/>
      <c r="G453" s="93">
        <f>G431</f>
        <v>-225</v>
      </c>
      <c r="H453" s="93" t="str">
        <f t="shared" si="71"/>
        <v xml:space="preserve"> (list 400 -225 )</v>
      </c>
      <c r="I453" s="93" t="s">
        <v>106</v>
      </c>
      <c r="J453" s="94"/>
      <c r="K453" s="95"/>
      <c r="U453" s="62" t="str">
        <f>IF($V$22&gt;(D417-1),IF($F$8="Y",(CONCATENATE(U452,H451,H452,H453,H454,V452,V452,W452,X452)),""),"")</f>
        <v/>
      </c>
      <c r="AG453" s="90" t="str">
        <f>U453</f>
        <v/>
      </c>
    </row>
    <row r="454" spans="1:33" hidden="1" x14ac:dyDescent="0.25">
      <c r="A454" s="100"/>
      <c r="B454" s="100"/>
      <c r="C454" s="17"/>
      <c r="D454" s="127"/>
      <c r="E454" s="93">
        <f>E453+$M$13</f>
        <v>600</v>
      </c>
      <c r="F454" s="93"/>
      <c r="G454" s="93">
        <f>G453</f>
        <v>-225</v>
      </c>
      <c r="H454" s="93" t="str">
        <f t="shared" si="71"/>
        <v xml:space="preserve"> (list 600 -225 )</v>
      </c>
      <c r="I454" s="93" t="s">
        <v>110</v>
      </c>
      <c r="J454" s="94"/>
      <c r="K454" s="95"/>
      <c r="U454" s="1" t="s">
        <v>81</v>
      </c>
      <c r="V454" s="1" t="s">
        <v>15</v>
      </c>
      <c r="AG454" s="90"/>
    </row>
    <row r="455" spans="1:33" hidden="1" x14ac:dyDescent="0.25">
      <c r="A455" s="100"/>
      <c r="B455" s="100"/>
      <c r="C455" s="17"/>
      <c r="D455" s="127"/>
      <c r="E455" s="94">
        <f>E448-3*B452</f>
        <v>-200</v>
      </c>
      <c r="F455" s="94"/>
      <c r="G455" s="94">
        <f>G450</f>
        <v>300</v>
      </c>
      <c r="H455" s="94" t="str">
        <f t="shared" si="71"/>
        <v xml:space="preserve"> (list -200 300 )</v>
      </c>
      <c r="I455" s="94" t="s">
        <v>122</v>
      </c>
      <c r="J455" s="96"/>
      <c r="K455" s="95"/>
      <c r="U455" s="62" t="str">
        <f>CONCATENATE(U454,$M$11,V454)</f>
        <v>(command "color" 3 "")</v>
      </c>
      <c r="AG455" s="90" t="str">
        <f>U455</f>
        <v>(command "color" 3 "")</v>
      </c>
    </row>
    <row r="456" spans="1:33" hidden="1" x14ac:dyDescent="0.25">
      <c r="A456" s="100"/>
      <c r="B456" s="100"/>
      <c r="C456" s="17"/>
      <c r="D456" s="127"/>
      <c r="E456" s="94">
        <f>E455+B452</f>
        <v>-50</v>
      </c>
      <c r="F456" s="94"/>
      <c r="G456" s="94">
        <f>G455-B453</f>
        <v>150</v>
      </c>
      <c r="H456" s="94" t="str">
        <f t="shared" si="71"/>
        <v xml:space="preserve"> (list -50 150 )</v>
      </c>
      <c r="I456" s="94" t="s">
        <v>123</v>
      </c>
      <c r="J456" s="96"/>
      <c r="K456" s="95"/>
      <c r="U456" s="1" t="s">
        <v>84</v>
      </c>
      <c r="V456" s="1" t="s">
        <v>22</v>
      </c>
      <c r="W456" s="5" t="s">
        <v>23</v>
      </c>
      <c r="X456" s="1" t="s">
        <v>7</v>
      </c>
      <c r="AG456" s="90"/>
    </row>
    <row r="457" spans="1:33" hidden="1" x14ac:dyDescent="0.25">
      <c r="A457" s="100"/>
      <c r="B457" s="100"/>
      <c r="C457" s="17"/>
      <c r="D457" s="127"/>
      <c r="E457" s="94">
        <f>E456</f>
        <v>-50</v>
      </c>
      <c r="F457" s="94"/>
      <c r="G457" s="94">
        <f>G428</f>
        <v>675</v>
      </c>
      <c r="H457" s="94" t="str">
        <f t="shared" si="71"/>
        <v xml:space="preserve"> (list -50 675 )</v>
      </c>
      <c r="I457" s="94" t="s">
        <v>124</v>
      </c>
      <c r="J457" s="96"/>
      <c r="K457" s="95"/>
      <c r="U457" s="62" t="str">
        <f>IF($V$22&gt;(D417-1),IF($I$8="Y",(CONCATENATE(U456,H455,H456,H457,H458,V456,V456,W456,X456)),""),"")</f>
        <v/>
      </c>
      <c r="AG457" s="90" t="str">
        <f>U457</f>
        <v/>
      </c>
    </row>
    <row r="458" spans="1:33" hidden="1" x14ac:dyDescent="0.25">
      <c r="A458" s="100"/>
      <c r="B458" s="100"/>
      <c r="C458" s="17"/>
      <c r="D458" s="127"/>
      <c r="E458" s="94">
        <f>E457+$M$13</f>
        <v>150</v>
      </c>
      <c r="F458" s="94"/>
      <c r="G458" s="94">
        <f>G457</f>
        <v>675</v>
      </c>
      <c r="H458" s="94" t="str">
        <f t="shared" si="71"/>
        <v xml:space="preserve"> (list 150 675 )</v>
      </c>
      <c r="I458" s="94" t="s">
        <v>125</v>
      </c>
      <c r="J458" s="96"/>
      <c r="K458" s="95"/>
      <c r="U458" s="1" t="s">
        <v>86</v>
      </c>
      <c r="V458" s="1" t="s">
        <v>27</v>
      </c>
      <c r="X458" s="1" t="s">
        <v>28</v>
      </c>
      <c r="Y458" s="1" t="s">
        <v>19</v>
      </c>
      <c r="AG458" s="90"/>
    </row>
    <row r="459" spans="1:33" hidden="1" x14ac:dyDescent="0.25">
      <c r="A459" s="100" t="s">
        <v>62</v>
      </c>
      <c r="B459" s="100" t="s">
        <v>127</v>
      </c>
      <c r="C459" s="17"/>
      <c r="D459" s="127"/>
      <c r="E459" s="93">
        <f>E454+25</f>
        <v>625</v>
      </c>
      <c r="F459" s="93"/>
      <c r="G459" s="93">
        <f>G454-$M$15/2</f>
        <v>-275</v>
      </c>
      <c r="H459" s="93" t="str">
        <f>CONCATENATE(" (list ",E459," ",G459," ",")")</f>
        <v xml:space="preserve"> (list 625 -275 )</v>
      </c>
      <c r="I459" s="93" t="s">
        <v>119</v>
      </c>
      <c r="J459" s="94"/>
      <c r="K459" s="95"/>
      <c r="U459" s="62" t="str">
        <f>IF($V$22&gt;(D417-1),IF($F$8="Y",CONCATENATE($U$90,H459," ",$V$90,M390,$V$90,$X$90,A459,$Y$90),""),"")</f>
        <v/>
      </c>
      <c r="AG459" s="90" t="str">
        <f>U459</f>
        <v/>
      </c>
    </row>
    <row r="460" spans="1:33" hidden="1" x14ac:dyDescent="0.25">
      <c r="A460" s="100" t="s">
        <v>62</v>
      </c>
      <c r="B460" s="100" t="s">
        <v>126</v>
      </c>
      <c r="C460" s="17"/>
      <c r="D460" s="127"/>
      <c r="E460" s="97">
        <f>E458+25</f>
        <v>175</v>
      </c>
      <c r="F460" s="97"/>
      <c r="G460" s="97">
        <f>G458-$M$15/2</f>
        <v>625</v>
      </c>
      <c r="H460" s="97" t="str">
        <f>CONCATENATE(" (list ",E460," ",G460," ",")")</f>
        <v xml:space="preserve"> (list 175 625 )</v>
      </c>
      <c r="I460" s="97" t="s">
        <v>120</v>
      </c>
      <c r="J460" s="98"/>
      <c r="K460" s="99"/>
      <c r="U460" s="62" t="str">
        <f>IF($V$22&gt;(D417-1),IF($I$8="Y",CONCATENATE(U458,H460," ",V458,M390,V458,X458,A460,Y458),""),"")</f>
        <v/>
      </c>
      <c r="AG460" s="90" t="str">
        <f>U460</f>
        <v/>
      </c>
    </row>
    <row r="461" spans="1:33" hidden="1" x14ac:dyDescent="0.25">
      <c r="A461" s="8"/>
      <c r="B461" s="8"/>
      <c r="C461" s="8"/>
      <c r="D461" s="8"/>
      <c r="E461" s="8"/>
      <c r="F461" s="8"/>
      <c r="G461" s="8"/>
      <c r="H461" s="17"/>
      <c r="I461" s="8"/>
      <c r="J461" s="8"/>
      <c r="K461" s="8"/>
      <c r="U461" s="35"/>
      <c r="AD461" s="43"/>
    </row>
    <row r="462" spans="1:33" hidden="1" x14ac:dyDescent="0.25"/>
    <row r="463" spans="1:33" ht="21" hidden="1" x14ac:dyDescent="0.35">
      <c r="A463" s="13"/>
      <c r="B463" s="13"/>
      <c r="C463" s="14"/>
      <c r="D463" s="103">
        <f>D417+1</f>
        <v>9</v>
      </c>
      <c r="E463" s="15">
        <f>$B$7+$H$7/2+B473+C474/2</f>
        <v>18500</v>
      </c>
      <c r="F463" s="15"/>
      <c r="G463" s="15">
        <f>$C$7-$C$12</f>
        <v>-500</v>
      </c>
      <c r="H463" s="15" t="str">
        <f t="shared" ref="H463:H470" si="73">CONCATENATE(" (list ",E463," ",G463," ",")")</f>
        <v xml:space="preserve"> (list 18500 -500 )</v>
      </c>
      <c r="I463" s="8" t="s">
        <v>47</v>
      </c>
      <c r="J463" s="8"/>
      <c r="K463" s="8"/>
      <c r="U463" s="1" t="s">
        <v>81</v>
      </c>
      <c r="V463" s="1" t="s">
        <v>15</v>
      </c>
    </row>
    <row r="464" spans="1:33" hidden="1" x14ac:dyDescent="0.25">
      <c r="A464" s="13"/>
      <c r="B464" s="13"/>
      <c r="C464" s="14"/>
      <c r="D464" s="8"/>
      <c r="E464" s="15">
        <f>E463</f>
        <v>18500</v>
      </c>
      <c r="F464" s="15"/>
      <c r="G464" s="15">
        <f>$C$7</f>
        <v>0</v>
      </c>
      <c r="H464" s="15" t="str">
        <f t="shared" si="73"/>
        <v xml:space="preserve"> (list 18500 0 )</v>
      </c>
      <c r="I464" s="8" t="s">
        <v>48</v>
      </c>
      <c r="J464" s="8"/>
      <c r="K464" s="8"/>
      <c r="U464" s="7" t="str">
        <f>CONCATENATE(U463,$M$9,V463)</f>
        <v>(command "color" 1 "")</v>
      </c>
      <c r="AG464" s="45" t="str">
        <f t="shared" si="67"/>
        <v>(command "color" 1 "")</v>
      </c>
    </row>
    <row r="465" spans="1:33" hidden="1" x14ac:dyDescent="0.25">
      <c r="A465" s="13"/>
      <c r="B465" s="13"/>
      <c r="C465" s="14"/>
      <c r="D465" s="8"/>
      <c r="E465" s="15">
        <f>$B$7+$H$7/2+B474-C475/2</f>
        <v>24000</v>
      </c>
      <c r="F465" s="15"/>
      <c r="G465" s="15">
        <f>G464</f>
        <v>0</v>
      </c>
      <c r="H465" s="15" t="str">
        <f t="shared" si="73"/>
        <v xml:space="preserve"> (list 24000 0 )</v>
      </c>
      <c r="I465" s="8" t="s">
        <v>49</v>
      </c>
      <c r="J465" s="8"/>
      <c r="K465" s="8"/>
      <c r="U465" s="1" t="s">
        <v>79</v>
      </c>
      <c r="V465" s="1" t="s">
        <v>15</v>
      </c>
    </row>
    <row r="466" spans="1:33" hidden="1" x14ac:dyDescent="0.25">
      <c r="A466" s="13"/>
      <c r="B466" s="13"/>
      <c r="C466" s="14"/>
      <c r="D466" s="8"/>
      <c r="E466" s="15">
        <f>$B$7+$H$7/2+B474-C475/2</f>
        <v>24000</v>
      </c>
      <c r="F466" s="15"/>
      <c r="G466" s="15">
        <f>G463</f>
        <v>-500</v>
      </c>
      <c r="H466" s="15" t="str">
        <f t="shared" si="73"/>
        <v xml:space="preserve"> (list 24000 -500 )</v>
      </c>
      <c r="I466" s="8" t="s">
        <v>50</v>
      </c>
      <c r="J466" s="8"/>
      <c r="K466" s="8"/>
      <c r="U466" s="9" t="str">
        <f>IF($V$22&gt;(D463-1),CONCATENATE(U465,H463,H464,H465,H466,V465),"")</f>
        <v/>
      </c>
      <c r="AG466" s="45" t="str">
        <f t="shared" si="67"/>
        <v/>
      </c>
    </row>
    <row r="467" spans="1:33" hidden="1" x14ac:dyDescent="0.25">
      <c r="A467" s="13"/>
      <c r="B467" s="13"/>
      <c r="C467" s="14"/>
      <c r="D467" s="8"/>
      <c r="E467" s="16">
        <f>E463</f>
        <v>18500</v>
      </c>
      <c r="F467" s="16"/>
      <c r="G467" s="16">
        <f>$C$7+$C$10+$C$12</f>
        <v>950</v>
      </c>
      <c r="H467" s="16" t="str">
        <f t="shared" si="73"/>
        <v xml:space="preserve"> (list 18500 950 )</v>
      </c>
      <c r="I467" s="8" t="s">
        <v>52</v>
      </c>
      <c r="J467" s="8"/>
      <c r="K467" s="8"/>
      <c r="U467" s="9" t="str">
        <f>IF($V$22&gt;(D463-1),CONCATENATE(U465,H467,H468,H469,H470,V465),"")</f>
        <v/>
      </c>
      <c r="AG467" s="45" t="str">
        <f t="shared" si="67"/>
        <v/>
      </c>
    </row>
    <row r="468" spans="1:33" hidden="1" x14ac:dyDescent="0.25">
      <c r="A468" s="13"/>
      <c r="B468" s="13"/>
      <c r="C468" s="14"/>
      <c r="D468" s="8"/>
      <c r="E468" s="16">
        <f>E464</f>
        <v>18500</v>
      </c>
      <c r="F468" s="16"/>
      <c r="G468" s="16">
        <f>$C$7+$C$10</f>
        <v>450</v>
      </c>
      <c r="H468" s="16" t="str">
        <f t="shared" si="73"/>
        <v xml:space="preserve"> (list 18500 450 )</v>
      </c>
      <c r="I468" s="8" t="s">
        <v>53</v>
      </c>
      <c r="J468" s="8"/>
      <c r="K468" s="8"/>
    </row>
    <row r="469" spans="1:33" hidden="1" x14ac:dyDescent="0.25">
      <c r="A469" s="13"/>
      <c r="B469" s="13"/>
      <c r="C469" s="14"/>
      <c r="D469" s="8"/>
      <c r="E469" s="16">
        <f>E465</f>
        <v>24000</v>
      </c>
      <c r="F469" s="16"/>
      <c r="G469" s="16">
        <f>G468</f>
        <v>450</v>
      </c>
      <c r="H469" s="16" t="str">
        <f t="shared" si="73"/>
        <v xml:space="preserve"> (list 24000 450 )</v>
      </c>
      <c r="I469" s="8" t="s">
        <v>54</v>
      </c>
      <c r="J469" s="8"/>
      <c r="K469" s="8"/>
    </row>
    <row r="470" spans="1:33" hidden="1" x14ac:dyDescent="0.25">
      <c r="A470" s="13"/>
      <c r="B470" s="13"/>
      <c r="C470" s="14"/>
      <c r="D470" s="8"/>
      <c r="E470" s="16">
        <f>E466</f>
        <v>24000</v>
      </c>
      <c r="F470" s="16"/>
      <c r="G470" s="16">
        <f>G467</f>
        <v>950</v>
      </c>
      <c r="H470" s="16" t="str">
        <f t="shared" si="73"/>
        <v xml:space="preserve"> (list 24000 950 )</v>
      </c>
      <c r="I470" s="8" t="s">
        <v>51</v>
      </c>
      <c r="J470" s="8"/>
      <c r="K470" s="8"/>
      <c r="U470" s="1" t="s">
        <v>81</v>
      </c>
      <c r="V470" s="1" t="s">
        <v>15</v>
      </c>
    </row>
    <row r="471" spans="1:33" hidden="1" x14ac:dyDescent="0.25">
      <c r="A471" s="13"/>
      <c r="B471" s="8"/>
      <c r="C471" s="8"/>
      <c r="D471" s="8"/>
      <c r="E471" s="8"/>
      <c r="F471" s="8"/>
      <c r="G471" s="8"/>
      <c r="H471" s="8"/>
      <c r="I471" s="8"/>
      <c r="J471" s="8"/>
      <c r="K471" s="8"/>
      <c r="U471" s="7" t="str">
        <f>CONCATENATE(U470,$M$11,V470)</f>
        <v>(command "color" 3 "")</v>
      </c>
      <c r="AG471" s="45" t="str">
        <f t="shared" si="67"/>
        <v>(command "color" 3 "")</v>
      </c>
    </row>
    <row r="472" spans="1:33" hidden="1" x14ac:dyDescent="0.25">
      <c r="A472" s="22" t="s">
        <v>3</v>
      </c>
      <c r="B472" s="22" t="s">
        <v>9</v>
      </c>
      <c r="C472" s="23" t="s">
        <v>0</v>
      </c>
      <c r="D472" s="8"/>
      <c r="E472" s="17">
        <f>(E468+E469)/2</f>
        <v>21250</v>
      </c>
      <c r="F472" s="17"/>
      <c r="G472" s="17">
        <f>$C$7+$C$10-$C$14</f>
        <v>375</v>
      </c>
      <c r="H472" s="17" t="str">
        <f t="shared" ref="H472:H485" si="74">CONCATENATE(" (list ",E472," ",G472," ",")")</f>
        <v xml:space="preserve"> (list 21250 375 )</v>
      </c>
      <c r="I472" s="18" t="s">
        <v>36</v>
      </c>
      <c r="J472" s="18"/>
      <c r="K472" s="18"/>
      <c r="U472" s="1" t="s">
        <v>84</v>
      </c>
      <c r="V472" s="1" t="s">
        <v>22</v>
      </c>
      <c r="W472" s="5" t="s">
        <v>23</v>
      </c>
      <c r="X472" s="1" t="s">
        <v>7</v>
      </c>
    </row>
    <row r="473" spans="1:33" hidden="1" x14ac:dyDescent="0.25">
      <c r="A473" s="13"/>
      <c r="B473" s="8">
        <f>VLOOKUP(D463-1,$D$7:$H$17,4)</f>
        <v>18000</v>
      </c>
      <c r="C473" s="8"/>
      <c r="D473" s="8"/>
      <c r="E473" s="17">
        <f>E472</f>
        <v>21250</v>
      </c>
      <c r="F473" s="17"/>
      <c r="G473" s="17">
        <f>G472+$M$12</f>
        <v>675</v>
      </c>
      <c r="H473" s="17" t="str">
        <f t="shared" si="74"/>
        <v xml:space="preserve"> (list 21250 675 )</v>
      </c>
      <c r="I473" s="18" t="s">
        <v>37</v>
      </c>
      <c r="J473" s="18"/>
      <c r="K473" s="18"/>
      <c r="U473" s="7" t="str">
        <f>IF($V$22&gt;(D463-1),CONCATENATE(U472,H472,H473,H474,V472,V472,W472,X472),"")</f>
        <v/>
      </c>
      <c r="AG473" s="45" t="str">
        <f t="shared" si="67"/>
        <v/>
      </c>
    </row>
    <row r="474" spans="1:33" hidden="1" x14ac:dyDescent="0.25">
      <c r="A474" s="13"/>
      <c r="B474" s="8">
        <f>B473+A476</f>
        <v>24000</v>
      </c>
      <c r="C474" s="8">
        <f>VLOOKUP(D463,$D$7:$H$17,5)</f>
        <v>500</v>
      </c>
      <c r="D474" s="8"/>
      <c r="E474" s="17">
        <f>E473+$M$13</f>
        <v>21450</v>
      </c>
      <c r="F474" s="17"/>
      <c r="G474" s="17">
        <f>G473</f>
        <v>675</v>
      </c>
      <c r="H474" s="17" t="str">
        <f t="shared" si="74"/>
        <v xml:space="preserve"> (list 21450 675 )</v>
      </c>
      <c r="I474" s="18" t="s">
        <v>38</v>
      </c>
      <c r="J474" s="18"/>
      <c r="K474" s="18"/>
    </row>
    <row r="475" spans="1:33" hidden="1" x14ac:dyDescent="0.25">
      <c r="A475" s="13">
        <f>VLOOKUP(D463-1,$D$7:$E$17,2)</f>
        <v>6000</v>
      </c>
      <c r="B475" s="8"/>
      <c r="C475" s="8">
        <f>VLOOKUP(D463+1,$D$7:$H$17,5)</f>
        <v>500</v>
      </c>
      <c r="D475" s="8"/>
      <c r="E475" s="19">
        <f>E472</f>
        <v>21250</v>
      </c>
      <c r="F475" s="19"/>
      <c r="G475" s="19">
        <f>$C$7+$C$14</f>
        <v>75</v>
      </c>
      <c r="H475" s="19" t="str">
        <f t="shared" si="74"/>
        <v xml:space="preserve"> (list 21250 75 )</v>
      </c>
      <c r="I475" s="19" t="s">
        <v>39</v>
      </c>
      <c r="J475" s="19"/>
      <c r="K475" s="19"/>
      <c r="U475" s="1" t="s">
        <v>84</v>
      </c>
      <c r="V475" s="1" t="s">
        <v>22</v>
      </c>
      <c r="W475" s="5" t="s">
        <v>23</v>
      </c>
      <c r="X475" s="1" t="s">
        <v>7</v>
      </c>
    </row>
    <row r="476" spans="1:33" hidden="1" x14ac:dyDescent="0.25">
      <c r="A476" s="13">
        <f>VLOOKUP(D463,$D$7:$H$17,2)</f>
        <v>6000</v>
      </c>
      <c r="B476" s="8"/>
      <c r="C476" s="8"/>
      <c r="D476" s="8"/>
      <c r="E476" s="19">
        <f>E475</f>
        <v>21250</v>
      </c>
      <c r="F476" s="19"/>
      <c r="G476" s="19">
        <f>G475-$M$12</f>
        <v>-225</v>
      </c>
      <c r="H476" s="19" t="str">
        <f t="shared" si="74"/>
        <v xml:space="preserve"> (list 21250 -225 )</v>
      </c>
      <c r="I476" s="19" t="s">
        <v>40</v>
      </c>
      <c r="J476" s="19"/>
      <c r="K476" s="19"/>
      <c r="U476" s="7" t="str">
        <f>IF($V$22&gt;(D463-1),CONCATENATE(U475,H475,H476,H477,V475,V475,W475,X475),"")</f>
        <v/>
      </c>
      <c r="AG476" s="45" t="str">
        <f t="shared" si="67"/>
        <v/>
      </c>
    </row>
    <row r="477" spans="1:33" hidden="1" x14ac:dyDescent="0.25">
      <c r="A477" s="13"/>
      <c r="B477" s="8"/>
      <c r="C477" s="8"/>
      <c r="D477" s="8"/>
      <c r="E477" s="19">
        <f>E476+$M$13</f>
        <v>21450</v>
      </c>
      <c r="F477" s="19"/>
      <c r="G477" s="19">
        <f>G476</f>
        <v>-225</v>
      </c>
      <c r="H477" s="19" t="str">
        <f t="shared" si="74"/>
        <v xml:space="preserve"> (list 21450 -225 )</v>
      </c>
      <c r="I477" s="19" t="s">
        <v>41</v>
      </c>
      <c r="J477" s="19"/>
      <c r="K477" s="19"/>
      <c r="U477" s="1" t="s">
        <v>82</v>
      </c>
      <c r="X477" s="1" t="s">
        <v>7</v>
      </c>
    </row>
    <row r="478" spans="1:33" hidden="1" x14ac:dyDescent="0.25">
      <c r="A478" s="13"/>
      <c r="B478" s="8"/>
      <c r="C478" s="8"/>
      <c r="D478" s="8"/>
      <c r="E478" s="20">
        <f>$B$7+$H$7/2+B473+C474/2</f>
        <v>18500</v>
      </c>
      <c r="F478" s="20"/>
      <c r="G478" s="20">
        <f>$C$7-$C$12</f>
        <v>-500</v>
      </c>
      <c r="H478" s="20" t="str">
        <f t="shared" si="74"/>
        <v xml:space="preserve"> (list 18500 -500 )</v>
      </c>
      <c r="I478" s="20" t="s">
        <v>33</v>
      </c>
      <c r="J478" s="20"/>
      <c r="K478" s="20"/>
      <c r="U478" s="9" t="str">
        <f>IF($V$22&gt;(D463-1),CONCATENATE(U477,H478,H479,H480,X477),"")</f>
        <v/>
      </c>
      <c r="AG478" s="45" t="str">
        <f t="shared" si="67"/>
        <v/>
      </c>
    </row>
    <row r="479" spans="1:33" hidden="1" x14ac:dyDescent="0.25">
      <c r="A479" s="13"/>
      <c r="B479" s="8"/>
      <c r="C479" s="8"/>
      <c r="D479" s="8"/>
      <c r="E479" s="20">
        <f>$B$7+$H$7/2+B474-C475/2</f>
        <v>24000</v>
      </c>
      <c r="F479" s="20"/>
      <c r="G479" s="20">
        <f>$C$7-$C$12</f>
        <v>-500</v>
      </c>
      <c r="H479" s="20" t="str">
        <f t="shared" si="74"/>
        <v xml:space="preserve"> (list 24000 -500 )</v>
      </c>
      <c r="I479" s="20" t="s">
        <v>34</v>
      </c>
      <c r="J479" s="20"/>
      <c r="K479" s="20"/>
      <c r="U479" s="1" t="s">
        <v>86</v>
      </c>
      <c r="V479" s="1" t="s">
        <v>27</v>
      </c>
      <c r="W479" s="1" t="s">
        <v>29</v>
      </c>
      <c r="X479" s="1" t="s">
        <v>28</v>
      </c>
      <c r="AA479" s="1" t="s">
        <v>30</v>
      </c>
      <c r="AB479" s="1" t="s">
        <v>31</v>
      </c>
    </row>
    <row r="480" spans="1:33" hidden="1" x14ac:dyDescent="0.25">
      <c r="A480" s="66" t="s">
        <v>29</v>
      </c>
      <c r="B480" s="8"/>
      <c r="C480" s="8"/>
      <c r="D480" s="8"/>
      <c r="E480" s="20">
        <f>E479</f>
        <v>24000</v>
      </c>
      <c r="F480" s="20"/>
      <c r="G480" s="20">
        <f>G479</f>
        <v>-500</v>
      </c>
      <c r="H480" s="20" t="str">
        <f t="shared" si="74"/>
        <v xml:space="preserve"> (list 24000 -500 )</v>
      </c>
      <c r="I480" s="20" t="s">
        <v>35</v>
      </c>
      <c r="J480" s="20"/>
      <c r="K480" s="20"/>
      <c r="U480" s="9" t="str">
        <f>IF($V$22&gt;(D463-1),CONCATENATE(U479,AA479,AB479,H481," ",V479,$M$15,V479,X479,W479,X477),"")</f>
        <v/>
      </c>
      <c r="AG480" s="45" t="str">
        <f t="shared" si="67"/>
        <v/>
      </c>
    </row>
    <row r="481" spans="1:33" hidden="1" x14ac:dyDescent="0.25">
      <c r="A481" s="13"/>
      <c r="B481" s="8"/>
      <c r="C481" s="8"/>
      <c r="D481" s="8"/>
      <c r="E481" s="20">
        <f>(E478+E479)/2</f>
        <v>21250</v>
      </c>
      <c r="F481" s="20"/>
      <c r="G481" s="20">
        <f>G480+$C$14</f>
        <v>-425</v>
      </c>
      <c r="H481" s="20" t="str">
        <f t="shared" si="74"/>
        <v xml:space="preserve"> (list 21250 -425 )</v>
      </c>
      <c r="I481" s="20" t="s">
        <v>117</v>
      </c>
      <c r="J481" s="20"/>
      <c r="K481" s="20"/>
    </row>
    <row r="482" spans="1:33" hidden="1" x14ac:dyDescent="0.25">
      <c r="A482" s="13"/>
      <c r="B482" s="8"/>
      <c r="C482" s="8"/>
      <c r="D482" s="8"/>
      <c r="E482" s="17">
        <f>E478+$C$15</f>
        <v>19000</v>
      </c>
      <c r="F482" s="17"/>
      <c r="G482" s="17">
        <f>G472+$C$14/2</f>
        <v>412.5</v>
      </c>
      <c r="H482" s="17" t="str">
        <f t="shared" si="74"/>
        <v xml:space="preserve"> (list 19000 412.5 )</v>
      </c>
      <c r="I482" s="17" t="s">
        <v>42</v>
      </c>
      <c r="J482" s="17"/>
      <c r="K482" s="17"/>
      <c r="U482" s="1" t="s">
        <v>79</v>
      </c>
      <c r="V482" s="1" t="s">
        <v>15</v>
      </c>
    </row>
    <row r="483" spans="1:33" hidden="1" x14ac:dyDescent="0.25">
      <c r="A483" s="13"/>
      <c r="B483" s="8"/>
      <c r="C483" s="8"/>
      <c r="D483" s="8"/>
      <c r="E483" s="17">
        <f>E478+$C$15</f>
        <v>19000</v>
      </c>
      <c r="F483" s="17"/>
      <c r="G483" s="17">
        <f>G475-$C$14/2</f>
        <v>37.5</v>
      </c>
      <c r="H483" s="17" t="str">
        <f t="shared" si="74"/>
        <v xml:space="preserve"> (list 19000 37.5 )</v>
      </c>
      <c r="I483" s="17" t="s">
        <v>43</v>
      </c>
      <c r="J483" s="17"/>
      <c r="K483" s="17"/>
      <c r="U483" s="10" t="str">
        <f>IF($V$22&gt;(D463-1),CONCATENATE($U$159,H482,H483,V482),"")</f>
        <v/>
      </c>
      <c r="AG483" s="45" t="str">
        <f t="shared" si="67"/>
        <v/>
      </c>
    </row>
    <row r="484" spans="1:33" hidden="1" x14ac:dyDescent="0.25">
      <c r="A484" s="13"/>
      <c r="B484" s="8"/>
      <c r="C484" s="8"/>
      <c r="D484" s="8"/>
      <c r="E484" s="17">
        <f>E482+200</f>
        <v>19200</v>
      </c>
      <c r="F484" s="17"/>
      <c r="G484" s="17">
        <f>G482</f>
        <v>412.5</v>
      </c>
      <c r="H484" s="17" t="str">
        <f t="shared" si="74"/>
        <v xml:space="preserve"> (list 19200 412.5 )</v>
      </c>
      <c r="I484" s="17" t="s">
        <v>44</v>
      </c>
      <c r="J484" s="17"/>
      <c r="K484" s="17"/>
      <c r="U484" s="10" t="str">
        <f>IF($V$22&gt;(D463-1),CONCATENATE($U$159,H484,H485,V482),"")</f>
        <v/>
      </c>
      <c r="AG484" s="45" t="str">
        <f t="shared" si="67"/>
        <v/>
      </c>
    </row>
    <row r="485" spans="1:33" hidden="1" x14ac:dyDescent="0.25">
      <c r="A485" s="13"/>
      <c r="B485" s="8"/>
      <c r="C485" s="8"/>
      <c r="D485" s="8"/>
      <c r="E485" s="17">
        <f>E483+200</f>
        <v>19200</v>
      </c>
      <c r="F485" s="17"/>
      <c r="G485" s="17">
        <f>G483</f>
        <v>37.5</v>
      </c>
      <c r="H485" s="17" t="str">
        <f t="shared" si="74"/>
        <v xml:space="preserve"> (list 19200 37.5 )</v>
      </c>
      <c r="I485" s="17" t="s">
        <v>45</v>
      </c>
      <c r="J485" s="17"/>
      <c r="K485" s="17"/>
    </row>
    <row r="486" spans="1:33" hidden="1" x14ac:dyDescent="0.25">
      <c r="A486" s="13"/>
      <c r="B486" s="8"/>
      <c r="C486" s="8"/>
      <c r="D486" s="8"/>
      <c r="E486" s="21" t="s">
        <v>21</v>
      </c>
      <c r="F486" s="21"/>
      <c r="G486" s="8"/>
      <c r="H486" s="8"/>
      <c r="I486" s="8"/>
      <c r="J486" s="8"/>
      <c r="K486" s="8"/>
      <c r="U486" s="1" t="s">
        <v>86</v>
      </c>
      <c r="V486" s="1" t="s">
        <v>27</v>
      </c>
      <c r="W486" s="1" t="s">
        <v>63</v>
      </c>
      <c r="X486" s="1" t="s">
        <v>28</v>
      </c>
      <c r="AA486" s="1" t="s">
        <v>30</v>
      </c>
      <c r="AB486" s="1" t="s">
        <v>32</v>
      </c>
    </row>
    <row r="487" spans="1:33" hidden="1" x14ac:dyDescent="0.25">
      <c r="A487" s="8" t="s">
        <v>62</v>
      </c>
      <c r="B487" s="8" t="s">
        <v>115</v>
      </c>
      <c r="C487" s="8"/>
      <c r="D487" s="8"/>
      <c r="E487" s="8">
        <f>E474+50</f>
        <v>21500</v>
      </c>
      <c r="F487" s="8"/>
      <c r="G487" s="8">
        <f>G474</f>
        <v>675</v>
      </c>
      <c r="H487" s="17" t="str">
        <f t="shared" ref="H487:H488" si="75">CONCATENATE(" (list ",E487," ",G487," ",")")</f>
        <v xml:space="preserve"> (list 21500 675 )</v>
      </c>
      <c r="I487" s="8" t="s">
        <v>113</v>
      </c>
      <c r="J487" s="8"/>
      <c r="K487" s="8"/>
      <c r="U487" s="6" t="str">
        <f>IF($V$22&gt;(D463-1),CONCATENATE(U486,AA486,AB486,H487," ",V486,$M$15,V486,X486,A487,X487),"")</f>
        <v/>
      </c>
      <c r="V487" s="1" t="s">
        <v>22</v>
      </c>
      <c r="W487" s="5" t="s">
        <v>23</v>
      </c>
      <c r="X487" s="1" t="s">
        <v>7</v>
      </c>
      <c r="AG487" s="45" t="str">
        <f t="shared" si="67"/>
        <v/>
      </c>
    </row>
    <row r="488" spans="1:33" hidden="1" x14ac:dyDescent="0.25">
      <c r="A488" s="8" t="s">
        <v>62</v>
      </c>
      <c r="B488" s="8" t="s">
        <v>116</v>
      </c>
      <c r="C488" s="8"/>
      <c r="D488" s="8"/>
      <c r="E488" s="8">
        <f>E477+50</f>
        <v>21500</v>
      </c>
      <c r="F488" s="8"/>
      <c r="G488" s="8">
        <f>G477</f>
        <v>-225</v>
      </c>
      <c r="H488" s="17" t="str">
        <f t="shared" si="75"/>
        <v xml:space="preserve"> (list 21500 -225 )</v>
      </c>
      <c r="I488" s="8" t="s">
        <v>114</v>
      </c>
      <c r="J488" s="8"/>
      <c r="K488" s="8"/>
      <c r="U488" s="6" t="str">
        <f>IF($V$22&gt;(D463-1),CONCATENATE(U486,AA486,AB486,H488," ",V486,$M$15,V486,X486,A488,X487),"")</f>
        <v/>
      </c>
      <c r="AD488" s="43"/>
      <c r="AG488" s="45" t="str">
        <f t="shared" si="67"/>
        <v/>
      </c>
    </row>
    <row r="489" spans="1:33" hidden="1" x14ac:dyDescent="0.25">
      <c r="A489" s="6"/>
      <c r="B489" s="6"/>
      <c r="C489" s="6"/>
      <c r="D489" s="6"/>
      <c r="E489" s="6"/>
      <c r="F489" s="6"/>
      <c r="G489" s="6"/>
      <c r="H489" s="102"/>
      <c r="I489" s="6"/>
      <c r="J489" s="6"/>
      <c r="K489" s="6"/>
      <c r="U489" s="6"/>
      <c r="AD489" s="43"/>
    </row>
    <row r="490" spans="1:33" ht="15" hidden="1" customHeight="1" x14ac:dyDescent="0.25">
      <c r="A490" s="91" t="s">
        <v>118</v>
      </c>
      <c r="B490" s="91">
        <f>$E$15</f>
        <v>0</v>
      </c>
      <c r="C490" s="8"/>
      <c r="D490" s="127" t="s">
        <v>131</v>
      </c>
      <c r="E490" s="8"/>
      <c r="F490" s="8"/>
      <c r="G490" s="8"/>
      <c r="H490" s="8"/>
      <c r="I490" s="8"/>
      <c r="J490" s="8"/>
      <c r="K490" s="8"/>
      <c r="U490" s="1" t="s">
        <v>81</v>
      </c>
      <c r="V490" s="1" t="s">
        <v>15</v>
      </c>
      <c r="AG490" s="90"/>
    </row>
    <row r="491" spans="1:33" ht="15" hidden="1" customHeight="1" x14ac:dyDescent="0.25">
      <c r="A491" s="91" t="s">
        <v>95</v>
      </c>
      <c r="B491" s="91">
        <f>B490/10</f>
        <v>0</v>
      </c>
      <c r="C491" s="8"/>
      <c r="D491" s="127"/>
      <c r="E491" s="92">
        <f>$B$7+$H$7/2+$G$14+$H$15/2+B491</f>
        <v>250</v>
      </c>
      <c r="F491" s="92"/>
      <c r="G491" s="92">
        <f>$G$78</f>
        <v>150</v>
      </c>
      <c r="H491" s="92" t="str">
        <f t="shared" ref="H491:H494" si="76">CONCATENATE(" (list ",E491," ",G491," ",")")</f>
        <v xml:space="preserve"> (list 250 150 )</v>
      </c>
      <c r="I491" s="92" t="s">
        <v>97</v>
      </c>
      <c r="J491" s="8"/>
      <c r="K491" s="8"/>
      <c r="U491" s="7" t="str">
        <f>CONCATENATE(U490,$M$10,V490)</f>
        <v>(command "color" 2 "")</v>
      </c>
      <c r="AG491" s="90" t="str">
        <f t="shared" ref="AG491" si="77">U491</f>
        <v>(command "color" 2 "")</v>
      </c>
    </row>
    <row r="492" spans="1:33" hidden="1" x14ac:dyDescent="0.25">
      <c r="A492" s="91" t="s">
        <v>96</v>
      </c>
      <c r="B492" s="91">
        <f>FLOOR(B490/3,1)</f>
        <v>0</v>
      </c>
      <c r="C492" s="8"/>
      <c r="D492" s="127"/>
      <c r="E492" s="92">
        <f>$B$7+$H$7/2+$G$15-$H$16/2-B491</f>
        <v>250</v>
      </c>
      <c r="F492" s="92"/>
      <c r="G492" s="92">
        <f>G491</f>
        <v>150</v>
      </c>
      <c r="H492" s="92" t="str">
        <f t="shared" si="76"/>
        <v xml:space="preserve"> (list 250 150 )</v>
      </c>
      <c r="I492" s="92" t="s">
        <v>98</v>
      </c>
      <c r="J492" s="8"/>
      <c r="K492" s="8"/>
      <c r="U492" s="1" t="s">
        <v>79</v>
      </c>
      <c r="V492" s="1" t="s">
        <v>15</v>
      </c>
      <c r="AG492" s="90"/>
    </row>
    <row r="493" spans="1:33" hidden="1" x14ac:dyDescent="0.25">
      <c r="A493" s="91" t="s">
        <v>103</v>
      </c>
      <c r="B493" s="91">
        <f>E492-E491</f>
        <v>0</v>
      </c>
      <c r="C493" s="8"/>
      <c r="D493" s="127"/>
      <c r="E493" s="20">
        <f>$B$7+$H$7/2+$G$14</f>
        <v>250</v>
      </c>
      <c r="F493" s="20"/>
      <c r="G493" s="20">
        <f>$G$82</f>
        <v>300</v>
      </c>
      <c r="H493" s="20" t="str">
        <f t="shared" si="76"/>
        <v xml:space="preserve"> (list 250 300 )</v>
      </c>
      <c r="I493" s="20" t="s">
        <v>100</v>
      </c>
      <c r="J493" s="8" t="s">
        <v>129</v>
      </c>
      <c r="K493" s="8"/>
      <c r="U493" s="62" t="str">
        <f>IF($V$22&gt;(D463-1),IF($I$8="Y",CONCATENATE($U$79,H491,H492,$V$79),""),"")</f>
        <v/>
      </c>
      <c r="AG493" s="90" t="str">
        <f t="shared" ref="AG493:AG495" si="78">U493</f>
        <v/>
      </c>
    </row>
    <row r="494" spans="1:33" hidden="1" x14ac:dyDescent="0.25">
      <c r="A494" s="91"/>
      <c r="B494" s="91"/>
      <c r="C494" s="8"/>
      <c r="D494" s="127"/>
      <c r="E494" s="20">
        <f>E493+B492</f>
        <v>250</v>
      </c>
      <c r="F494" s="20"/>
      <c r="G494" s="20">
        <f>G493</f>
        <v>300</v>
      </c>
      <c r="H494" s="20" t="str">
        <f t="shared" si="76"/>
        <v xml:space="preserve"> (list 250 300 )</v>
      </c>
      <c r="I494" s="20" t="s">
        <v>99</v>
      </c>
      <c r="J494" s="8"/>
      <c r="K494" s="8"/>
      <c r="U494" s="62" t="str">
        <f>IF($V$22&gt;(D463-1),IF($F$9="Y",CONCATENATE($U$79,H493,H494,$V$79),""),"")</f>
        <v/>
      </c>
      <c r="AG494" s="90" t="str">
        <f t="shared" si="78"/>
        <v/>
      </c>
    </row>
    <row r="495" spans="1:33" hidden="1" x14ac:dyDescent="0.25">
      <c r="A495" s="91"/>
      <c r="B495" s="91"/>
      <c r="C495" s="8"/>
      <c r="D495" s="127"/>
      <c r="E495" s="92">
        <f>E493+B490</f>
        <v>250</v>
      </c>
      <c r="F495" s="92"/>
      <c r="G495" s="92">
        <f>G494</f>
        <v>300</v>
      </c>
      <c r="H495" s="92" t="str">
        <f>CONCATENATE(" (list ",E495," ",G495," ",")")</f>
        <v xml:space="preserve"> (list 250 300 )</v>
      </c>
      <c r="I495" s="92" t="s">
        <v>132</v>
      </c>
      <c r="J495" s="8" t="s">
        <v>130</v>
      </c>
      <c r="K495" s="8"/>
      <c r="U495" s="62" t="str">
        <f>IF($V$22&gt;(D463-1),IF($F$10="Y",CONCATENATE($U$79,H495,H496,$V$79),""),"")</f>
        <v/>
      </c>
      <c r="AG495" s="90" t="str">
        <f t="shared" si="78"/>
        <v/>
      </c>
    </row>
    <row r="496" spans="1:33" hidden="1" x14ac:dyDescent="0.25">
      <c r="A496" s="91"/>
      <c r="B496" s="91"/>
      <c r="C496" s="8"/>
      <c r="D496" s="127"/>
      <c r="E496" s="92">
        <f>E495-B492</f>
        <v>250</v>
      </c>
      <c r="F496" s="92"/>
      <c r="G496" s="92">
        <f>G494</f>
        <v>300</v>
      </c>
      <c r="H496" s="92" t="str">
        <f>CONCATENATE(" (list ",E496," ",G496," ",")")</f>
        <v xml:space="preserve"> (list 250 300 )</v>
      </c>
      <c r="I496" s="92" t="s">
        <v>133</v>
      </c>
      <c r="J496" s="8"/>
      <c r="K496" s="8"/>
      <c r="U496" s="1" t="s">
        <v>81</v>
      </c>
      <c r="V496" s="1" t="s">
        <v>15</v>
      </c>
      <c r="AG496" s="90"/>
    </row>
    <row r="497" spans="1:33" hidden="1" x14ac:dyDescent="0.25">
      <c r="A497" s="100" t="s">
        <v>107</v>
      </c>
      <c r="B497" s="100"/>
      <c r="C497" s="17"/>
      <c r="D497" s="127"/>
      <c r="E497" s="93">
        <f>FLOOR(B493*2/3,1)+E491</f>
        <v>250</v>
      </c>
      <c r="F497" s="93"/>
      <c r="G497" s="93">
        <f>G492</f>
        <v>150</v>
      </c>
      <c r="H497" s="93" t="str">
        <f t="shared" ref="H497:H504" si="79">CONCATENATE(" (list ",E497," ",G497," ",")")</f>
        <v xml:space="preserve"> (list 250 150 )</v>
      </c>
      <c r="I497" s="93" t="s">
        <v>104</v>
      </c>
      <c r="J497" s="94"/>
      <c r="K497" s="95"/>
      <c r="U497" s="62" t="str">
        <f>CONCATENATE(U496,$M$11,V496)</f>
        <v>(command "color" 3 "")</v>
      </c>
      <c r="AG497" s="90" t="str">
        <f t="shared" ref="AG497" si="80">U497</f>
        <v>(command "color" 3 "")</v>
      </c>
    </row>
    <row r="498" spans="1:33" hidden="1" x14ac:dyDescent="0.25">
      <c r="A498" s="100" t="s">
        <v>108</v>
      </c>
      <c r="B498" s="100">
        <v>150</v>
      </c>
      <c r="C498" s="17"/>
      <c r="D498" s="127"/>
      <c r="E498" s="93">
        <f>E497+B498</f>
        <v>400</v>
      </c>
      <c r="F498" s="93"/>
      <c r="G498" s="93">
        <f>G497+B499</f>
        <v>300</v>
      </c>
      <c r="H498" s="93" t="str">
        <f t="shared" si="79"/>
        <v xml:space="preserve"> (list 400 300 )</v>
      </c>
      <c r="I498" s="93" t="s">
        <v>105</v>
      </c>
      <c r="J498" s="94"/>
      <c r="K498" s="95"/>
      <c r="U498" s="1" t="s">
        <v>84</v>
      </c>
      <c r="V498" s="1" t="s">
        <v>22</v>
      </c>
      <c r="W498" s="5" t="s">
        <v>23</v>
      </c>
      <c r="X498" s="1" t="s">
        <v>7</v>
      </c>
      <c r="AG498" s="90"/>
    </row>
    <row r="499" spans="1:33" hidden="1" x14ac:dyDescent="0.25">
      <c r="A499" s="100" t="s">
        <v>109</v>
      </c>
      <c r="B499" s="100">
        <v>150</v>
      </c>
      <c r="C499" s="17"/>
      <c r="D499" s="127"/>
      <c r="E499" s="93">
        <f>E498</f>
        <v>400</v>
      </c>
      <c r="F499" s="93"/>
      <c r="G499" s="93">
        <f>G477</f>
        <v>-225</v>
      </c>
      <c r="H499" s="93" t="str">
        <f t="shared" si="79"/>
        <v xml:space="preserve"> (list 400 -225 )</v>
      </c>
      <c r="I499" s="93" t="s">
        <v>106</v>
      </c>
      <c r="J499" s="94"/>
      <c r="K499" s="95"/>
      <c r="U499" s="62" t="str">
        <f>IF($V$22&gt;(D463-1),IF($F$8="Y",(CONCATENATE(U498,H497,H498,H499,H500,V498,V498,W498,X498)),""),"")</f>
        <v/>
      </c>
      <c r="AG499" s="90" t="str">
        <f>U499</f>
        <v/>
      </c>
    </row>
    <row r="500" spans="1:33" hidden="1" x14ac:dyDescent="0.25">
      <c r="A500" s="100"/>
      <c r="B500" s="100"/>
      <c r="C500" s="17"/>
      <c r="D500" s="127"/>
      <c r="E500" s="93">
        <f>E499+$M$13</f>
        <v>600</v>
      </c>
      <c r="F500" s="93"/>
      <c r="G500" s="93">
        <f>G499</f>
        <v>-225</v>
      </c>
      <c r="H500" s="93" t="str">
        <f t="shared" si="79"/>
        <v xml:space="preserve"> (list 600 -225 )</v>
      </c>
      <c r="I500" s="93" t="s">
        <v>110</v>
      </c>
      <c r="J500" s="94"/>
      <c r="K500" s="95"/>
      <c r="U500" s="1" t="s">
        <v>81</v>
      </c>
      <c r="V500" s="1" t="s">
        <v>15</v>
      </c>
      <c r="AG500" s="90"/>
    </row>
    <row r="501" spans="1:33" hidden="1" x14ac:dyDescent="0.25">
      <c r="A501" s="100"/>
      <c r="B501" s="100"/>
      <c r="C501" s="17"/>
      <c r="D501" s="127"/>
      <c r="E501" s="94">
        <f>E494-3*B498</f>
        <v>-200</v>
      </c>
      <c r="F501" s="94"/>
      <c r="G501" s="94">
        <f>G496</f>
        <v>300</v>
      </c>
      <c r="H501" s="94" t="str">
        <f t="shared" si="79"/>
        <v xml:space="preserve"> (list -200 300 )</v>
      </c>
      <c r="I501" s="94" t="s">
        <v>122</v>
      </c>
      <c r="J501" s="96"/>
      <c r="K501" s="95"/>
      <c r="U501" s="62" t="str">
        <f>CONCATENATE(U500,$M$11,V500)</f>
        <v>(command "color" 3 "")</v>
      </c>
      <c r="AG501" s="90" t="str">
        <f>U501</f>
        <v>(command "color" 3 "")</v>
      </c>
    </row>
    <row r="502" spans="1:33" hidden="1" x14ac:dyDescent="0.25">
      <c r="A502" s="100"/>
      <c r="B502" s="100"/>
      <c r="C502" s="17"/>
      <c r="D502" s="127"/>
      <c r="E502" s="94">
        <f>E501+B498</f>
        <v>-50</v>
      </c>
      <c r="F502" s="94"/>
      <c r="G502" s="94">
        <f>G501-B499</f>
        <v>150</v>
      </c>
      <c r="H502" s="94" t="str">
        <f t="shared" si="79"/>
        <v xml:space="preserve"> (list -50 150 )</v>
      </c>
      <c r="I502" s="94" t="s">
        <v>123</v>
      </c>
      <c r="J502" s="96"/>
      <c r="K502" s="95"/>
      <c r="U502" s="1" t="s">
        <v>84</v>
      </c>
      <c r="V502" s="1" t="s">
        <v>22</v>
      </c>
      <c r="W502" s="5" t="s">
        <v>23</v>
      </c>
      <c r="X502" s="1" t="s">
        <v>7</v>
      </c>
      <c r="AG502" s="90"/>
    </row>
    <row r="503" spans="1:33" hidden="1" x14ac:dyDescent="0.25">
      <c r="A503" s="100"/>
      <c r="B503" s="100"/>
      <c r="C503" s="17"/>
      <c r="D503" s="127"/>
      <c r="E503" s="94">
        <f>E502</f>
        <v>-50</v>
      </c>
      <c r="F503" s="94"/>
      <c r="G503" s="94">
        <f>G474</f>
        <v>675</v>
      </c>
      <c r="H503" s="94" t="str">
        <f t="shared" si="79"/>
        <v xml:space="preserve"> (list -50 675 )</v>
      </c>
      <c r="I503" s="94" t="s">
        <v>124</v>
      </c>
      <c r="J503" s="96"/>
      <c r="K503" s="95"/>
      <c r="U503" s="62" t="str">
        <f>IF($V$22&gt;(D463-1),IF($I$8="Y",(CONCATENATE(U502,H501,H502,H503,H504,V502,V502,W502,X502)),""),"")</f>
        <v/>
      </c>
      <c r="AG503" s="90" t="str">
        <f>U503</f>
        <v/>
      </c>
    </row>
    <row r="504" spans="1:33" hidden="1" x14ac:dyDescent="0.25">
      <c r="A504" s="100"/>
      <c r="B504" s="100"/>
      <c r="C504" s="17"/>
      <c r="D504" s="127"/>
      <c r="E504" s="94">
        <f>E503+$M$13</f>
        <v>150</v>
      </c>
      <c r="F504" s="94"/>
      <c r="G504" s="94">
        <f>G503</f>
        <v>675</v>
      </c>
      <c r="H504" s="94" t="str">
        <f t="shared" si="79"/>
        <v xml:space="preserve"> (list 150 675 )</v>
      </c>
      <c r="I504" s="94" t="s">
        <v>125</v>
      </c>
      <c r="J504" s="96"/>
      <c r="K504" s="95"/>
      <c r="U504" s="1" t="s">
        <v>86</v>
      </c>
      <c r="V504" s="1" t="s">
        <v>27</v>
      </c>
      <c r="X504" s="1" t="s">
        <v>28</v>
      </c>
      <c r="Y504" s="1" t="s">
        <v>19</v>
      </c>
      <c r="AG504" s="90"/>
    </row>
    <row r="505" spans="1:33" hidden="1" x14ac:dyDescent="0.25">
      <c r="A505" s="100" t="s">
        <v>62</v>
      </c>
      <c r="B505" s="100" t="s">
        <v>127</v>
      </c>
      <c r="C505" s="17"/>
      <c r="D505" s="127"/>
      <c r="E505" s="93">
        <f>E500+25</f>
        <v>625</v>
      </c>
      <c r="F505" s="93"/>
      <c r="G505" s="93">
        <f>G500-$M$15/2</f>
        <v>-275</v>
      </c>
      <c r="H505" s="93" t="str">
        <f>CONCATENATE(" (list ",E505," ",G505," ",")")</f>
        <v xml:space="preserve"> (list 625 -275 )</v>
      </c>
      <c r="I505" s="93" t="s">
        <v>119</v>
      </c>
      <c r="J505" s="94"/>
      <c r="K505" s="95"/>
      <c r="U505" s="62" t="str">
        <f>IF($V$22&gt;(D463-1),IF($F$8="Y",CONCATENATE($U$90,H505," ",$V$90,M436,$V$90,$X$90,A505,$Y$90),""),"")</f>
        <v/>
      </c>
      <c r="AG505" s="90" t="str">
        <f>U505</f>
        <v/>
      </c>
    </row>
    <row r="506" spans="1:33" hidden="1" x14ac:dyDescent="0.25">
      <c r="A506" s="100" t="s">
        <v>62</v>
      </c>
      <c r="B506" s="100" t="s">
        <v>126</v>
      </c>
      <c r="C506" s="17"/>
      <c r="D506" s="127"/>
      <c r="E506" s="97">
        <f>E504+25</f>
        <v>175</v>
      </c>
      <c r="F506" s="97"/>
      <c r="G506" s="97">
        <f>G504-$M$15/2</f>
        <v>625</v>
      </c>
      <c r="H506" s="97" t="str">
        <f>CONCATENATE(" (list ",E506," ",G506," ",")")</f>
        <v xml:space="preserve"> (list 175 625 )</v>
      </c>
      <c r="I506" s="97" t="s">
        <v>120</v>
      </c>
      <c r="J506" s="98"/>
      <c r="K506" s="99"/>
      <c r="U506" s="62" t="str">
        <f>IF($V$22&gt;(D463-1),IF($I$8="Y",CONCATENATE(U504,H506," ",V504,M436,V504,X504,A506,Y504),""),"")</f>
        <v/>
      </c>
      <c r="AG506" s="90" t="str">
        <f>U506</f>
        <v/>
      </c>
    </row>
    <row r="507" spans="1:33" hidden="1" x14ac:dyDescent="0.25">
      <c r="A507" s="8"/>
      <c r="B507" s="8"/>
      <c r="C507" s="8"/>
      <c r="D507" s="8"/>
      <c r="E507" s="8"/>
      <c r="F507" s="8"/>
      <c r="G507" s="8"/>
      <c r="H507" s="17"/>
      <c r="I507" s="8"/>
      <c r="J507" s="8"/>
      <c r="K507" s="8"/>
      <c r="U507" s="35"/>
      <c r="AD507" s="43"/>
    </row>
    <row r="508" spans="1:33" hidden="1" x14ac:dyDescent="0.25"/>
    <row r="509" spans="1:33" ht="21" hidden="1" x14ac:dyDescent="0.35">
      <c r="A509" s="13"/>
      <c r="B509" s="13"/>
      <c r="C509" s="14"/>
      <c r="D509" s="103">
        <f>D463+1</f>
        <v>10</v>
      </c>
      <c r="E509" s="15">
        <f>$B$7+$H$7/2+B519+C520/2</f>
        <v>18500</v>
      </c>
      <c r="F509" s="15"/>
      <c r="G509" s="15">
        <f>$C$7-$C$12</f>
        <v>-500</v>
      </c>
      <c r="H509" s="15" t="str">
        <f t="shared" ref="H509:H516" si="81">CONCATENATE(" (list ",E509," ",G509," ",")")</f>
        <v xml:space="preserve"> (list 18500 -500 )</v>
      </c>
      <c r="I509" s="8" t="s">
        <v>47</v>
      </c>
      <c r="J509" s="8"/>
      <c r="K509" s="8"/>
      <c r="U509" s="1" t="s">
        <v>81</v>
      </c>
      <c r="V509" s="1" t="s">
        <v>15</v>
      </c>
    </row>
    <row r="510" spans="1:33" hidden="1" x14ac:dyDescent="0.25">
      <c r="A510" s="13"/>
      <c r="B510" s="13"/>
      <c r="C510" s="14"/>
      <c r="D510" s="8"/>
      <c r="E510" s="15">
        <f>E509</f>
        <v>18500</v>
      </c>
      <c r="F510" s="15"/>
      <c r="G510" s="15">
        <f>$C$7</f>
        <v>0</v>
      </c>
      <c r="H510" s="15" t="str">
        <f t="shared" si="81"/>
        <v xml:space="preserve"> (list 18500 0 )</v>
      </c>
      <c r="I510" s="8" t="s">
        <v>48</v>
      </c>
      <c r="J510" s="8"/>
      <c r="K510" s="8"/>
      <c r="U510" s="7" t="str">
        <f>CONCATENATE(U509,$M$9,V509)</f>
        <v>(command "color" 1 "")</v>
      </c>
      <c r="AG510" s="45" t="str">
        <f t="shared" si="67"/>
        <v>(command "color" 1 "")</v>
      </c>
    </row>
    <row r="511" spans="1:33" hidden="1" x14ac:dyDescent="0.25">
      <c r="A511" s="13"/>
      <c r="B511" s="13"/>
      <c r="C511" s="14"/>
      <c r="D511" s="8"/>
      <c r="E511" s="15">
        <f>$B$7+$H$7/2+B520-C521/2</f>
        <v>24000</v>
      </c>
      <c r="F511" s="15"/>
      <c r="G511" s="15">
        <f>G510</f>
        <v>0</v>
      </c>
      <c r="H511" s="15" t="str">
        <f t="shared" si="81"/>
        <v xml:space="preserve"> (list 24000 0 )</v>
      </c>
      <c r="I511" s="8" t="s">
        <v>49</v>
      </c>
      <c r="J511" s="8"/>
      <c r="K511" s="8"/>
      <c r="U511" s="1" t="s">
        <v>79</v>
      </c>
      <c r="V511" s="1" t="s">
        <v>15</v>
      </c>
    </row>
    <row r="512" spans="1:33" hidden="1" x14ac:dyDescent="0.25">
      <c r="A512" s="13"/>
      <c r="B512" s="13"/>
      <c r="C512" s="14"/>
      <c r="D512" s="8"/>
      <c r="E512" s="15">
        <f>$B$7+$H$7/2+B520-C521/2</f>
        <v>24000</v>
      </c>
      <c r="F512" s="15"/>
      <c r="G512" s="15">
        <f>G509</f>
        <v>-500</v>
      </c>
      <c r="H512" s="15" t="str">
        <f t="shared" si="81"/>
        <v xml:space="preserve"> (list 24000 -500 )</v>
      </c>
      <c r="I512" s="8" t="s">
        <v>50</v>
      </c>
      <c r="J512" s="8"/>
      <c r="K512" s="8"/>
      <c r="U512" s="9" t="str">
        <f>IF($V$22&gt;(D509-1),CONCATENATE(U511,H509,H510,H511,H512,V511),"")</f>
        <v/>
      </c>
      <c r="AG512" s="45" t="str">
        <f t="shared" si="67"/>
        <v/>
      </c>
    </row>
    <row r="513" spans="1:33" hidden="1" x14ac:dyDescent="0.25">
      <c r="A513" s="13"/>
      <c r="B513" s="13"/>
      <c r="C513" s="14"/>
      <c r="D513" s="8"/>
      <c r="E513" s="16">
        <f>E509</f>
        <v>18500</v>
      </c>
      <c r="F513" s="16"/>
      <c r="G513" s="16">
        <f>$C$7+$C$10+$C$12</f>
        <v>950</v>
      </c>
      <c r="H513" s="16" t="str">
        <f t="shared" si="81"/>
        <v xml:space="preserve"> (list 18500 950 )</v>
      </c>
      <c r="I513" s="8" t="s">
        <v>52</v>
      </c>
      <c r="J513" s="8"/>
      <c r="K513" s="8"/>
      <c r="U513" s="9" t="str">
        <f>IF($V$22&gt;(D509-1),CONCATENATE(U511,H513,H514,H515,H516,V511),"")</f>
        <v/>
      </c>
      <c r="AG513" s="45" t="str">
        <f t="shared" si="67"/>
        <v/>
      </c>
    </row>
    <row r="514" spans="1:33" hidden="1" x14ac:dyDescent="0.25">
      <c r="A514" s="13"/>
      <c r="B514" s="13"/>
      <c r="C514" s="14"/>
      <c r="D514" s="8"/>
      <c r="E514" s="16">
        <f>E510</f>
        <v>18500</v>
      </c>
      <c r="F514" s="16"/>
      <c r="G514" s="16">
        <f>$C$7+$C$10</f>
        <v>450</v>
      </c>
      <c r="H514" s="16" t="str">
        <f t="shared" si="81"/>
        <v xml:space="preserve"> (list 18500 450 )</v>
      </c>
      <c r="I514" s="8" t="s">
        <v>53</v>
      </c>
      <c r="J514" s="8"/>
      <c r="K514" s="8"/>
    </row>
    <row r="515" spans="1:33" hidden="1" x14ac:dyDescent="0.25">
      <c r="A515" s="13"/>
      <c r="B515" s="13"/>
      <c r="C515" s="14"/>
      <c r="D515" s="8"/>
      <c r="E515" s="16">
        <f>E511</f>
        <v>24000</v>
      </c>
      <c r="F515" s="16"/>
      <c r="G515" s="16">
        <f>G514</f>
        <v>450</v>
      </c>
      <c r="H515" s="16" t="str">
        <f t="shared" si="81"/>
        <v xml:space="preserve"> (list 24000 450 )</v>
      </c>
      <c r="I515" s="8" t="s">
        <v>54</v>
      </c>
      <c r="J515" s="8"/>
      <c r="K515" s="8"/>
    </row>
    <row r="516" spans="1:33" hidden="1" x14ac:dyDescent="0.25">
      <c r="A516" s="13"/>
      <c r="B516" s="13"/>
      <c r="C516" s="14"/>
      <c r="D516" s="8"/>
      <c r="E516" s="16">
        <f>E512</f>
        <v>24000</v>
      </c>
      <c r="F516" s="16"/>
      <c r="G516" s="16">
        <f>G513</f>
        <v>950</v>
      </c>
      <c r="H516" s="16" t="str">
        <f t="shared" si="81"/>
        <v xml:space="preserve"> (list 24000 950 )</v>
      </c>
      <c r="I516" s="8" t="s">
        <v>51</v>
      </c>
      <c r="J516" s="8"/>
      <c r="K516" s="8"/>
      <c r="U516" s="1" t="s">
        <v>81</v>
      </c>
      <c r="V516" s="1" t="s">
        <v>15</v>
      </c>
    </row>
    <row r="517" spans="1:33" hidden="1" x14ac:dyDescent="0.25">
      <c r="A517" s="13"/>
      <c r="B517" s="8"/>
      <c r="C517" s="8"/>
      <c r="D517" s="8"/>
      <c r="E517" s="8"/>
      <c r="F517" s="8"/>
      <c r="G517" s="8"/>
      <c r="H517" s="8"/>
      <c r="I517" s="8"/>
      <c r="J517" s="8"/>
      <c r="K517" s="8"/>
      <c r="U517" s="7" t="str">
        <f>CONCATENATE(U516,$M$11,V516)</f>
        <v>(command "color" 3 "")</v>
      </c>
      <c r="AG517" s="45" t="str">
        <f t="shared" si="67"/>
        <v>(command "color" 3 "")</v>
      </c>
    </row>
    <row r="518" spans="1:33" hidden="1" x14ac:dyDescent="0.25">
      <c r="A518" s="22" t="s">
        <v>3</v>
      </c>
      <c r="B518" s="22" t="s">
        <v>9</v>
      </c>
      <c r="C518" s="23" t="s">
        <v>0</v>
      </c>
      <c r="D518" s="8"/>
      <c r="E518" s="17">
        <f>(E514+E515)/2</f>
        <v>21250</v>
      </c>
      <c r="F518" s="17"/>
      <c r="G518" s="17">
        <f>$C$7+$C$10-$C$14</f>
        <v>375</v>
      </c>
      <c r="H518" s="17" t="str">
        <f t="shared" ref="H518:H531" si="82">CONCATENATE(" (list ",E518," ",G518," ",")")</f>
        <v xml:space="preserve"> (list 21250 375 )</v>
      </c>
      <c r="I518" s="18" t="s">
        <v>36</v>
      </c>
      <c r="J518" s="18"/>
      <c r="K518" s="18"/>
      <c r="U518" s="1" t="s">
        <v>84</v>
      </c>
      <c r="V518" s="1" t="s">
        <v>22</v>
      </c>
      <c r="W518" s="5" t="s">
        <v>23</v>
      </c>
      <c r="X518" s="1" t="s">
        <v>7</v>
      </c>
    </row>
    <row r="519" spans="1:33" hidden="1" x14ac:dyDescent="0.25">
      <c r="A519" s="13"/>
      <c r="B519" s="8">
        <f>VLOOKUP(D509-1,$D$7:$H$17,4)</f>
        <v>18000</v>
      </c>
      <c r="C519" s="8"/>
      <c r="D519" s="8"/>
      <c r="E519" s="17">
        <f>E518</f>
        <v>21250</v>
      </c>
      <c r="F519" s="17"/>
      <c r="G519" s="17">
        <f>G518+$M$12</f>
        <v>675</v>
      </c>
      <c r="H519" s="17" t="str">
        <f t="shared" si="82"/>
        <v xml:space="preserve"> (list 21250 675 )</v>
      </c>
      <c r="I519" s="18" t="s">
        <v>37</v>
      </c>
      <c r="J519" s="18"/>
      <c r="K519" s="18"/>
      <c r="U519" s="7" t="str">
        <f>IF($V$22&gt;(D509-1),CONCATENATE(U518,H518,H519,H520,V518,V518,W518,X518),"")</f>
        <v/>
      </c>
      <c r="AG519" s="45" t="str">
        <f t="shared" si="67"/>
        <v/>
      </c>
    </row>
    <row r="520" spans="1:33" hidden="1" x14ac:dyDescent="0.25">
      <c r="A520" s="13"/>
      <c r="B520" s="8">
        <f>B519+A522</f>
        <v>24000</v>
      </c>
      <c r="C520" s="8">
        <f>VLOOKUP(D509,$D$7:$H$17,5)</f>
        <v>500</v>
      </c>
      <c r="D520" s="8"/>
      <c r="E520" s="17">
        <f>E519+$M$13</f>
        <v>21450</v>
      </c>
      <c r="F520" s="17"/>
      <c r="G520" s="17">
        <f>G519</f>
        <v>675</v>
      </c>
      <c r="H520" s="17" t="str">
        <f t="shared" si="82"/>
        <v xml:space="preserve"> (list 21450 675 )</v>
      </c>
      <c r="I520" s="18" t="s">
        <v>38</v>
      </c>
      <c r="J520" s="18"/>
      <c r="K520" s="18"/>
    </row>
    <row r="521" spans="1:33" hidden="1" x14ac:dyDescent="0.25">
      <c r="A521" s="13">
        <f>VLOOKUP(D509-1,$D$7:$E$17,2)</f>
        <v>6000</v>
      </c>
      <c r="B521" s="8"/>
      <c r="C521" s="8">
        <f>VLOOKUP(D509+1,$D$7:$H$17,5)</f>
        <v>500</v>
      </c>
      <c r="D521" s="8"/>
      <c r="E521" s="19">
        <f>E518</f>
        <v>21250</v>
      </c>
      <c r="F521" s="19"/>
      <c r="G521" s="19">
        <f>$C$7+$C$14</f>
        <v>75</v>
      </c>
      <c r="H521" s="19" t="str">
        <f t="shared" si="82"/>
        <v xml:space="preserve"> (list 21250 75 )</v>
      </c>
      <c r="I521" s="19" t="s">
        <v>39</v>
      </c>
      <c r="J521" s="19"/>
      <c r="K521" s="19"/>
      <c r="U521" s="1" t="s">
        <v>84</v>
      </c>
      <c r="V521" s="1" t="s">
        <v>22</v>
      </c>
      <c r="W521" s="5" t="s">
        <v>23</v>
      </c>
      <c r="X521" s="1" t="s">
        <v>7</v>
      </c>
    </row>
    <row r="522" spans="1:33" hidden="1" x14ac:dyDescent="0.25">
      <c r="A522" s="13">
        <f>VLOOKUP(D509,$D$7:$H$17,2)</f>
        <v>6000</v>
      </c>
      <c r="B522" s="8"/>
      <c r="C522" s="8"/>
      <c r="D522" s="8"/>
      <c r="E522" s="19">
        <f>E521</f>
        <v>21250</v>
      </c>
      <c r="F522" s="19"/>
      <c r="G522" s="19">
        <f>G521-$M$12</f>
        <v>-225</v>
      </c>
      <c r="H522" s="19" t="str">
        <f t="shared" si="82"/>
        <v xml:space="preserve"> (list 21250 -225 )</v>
      </c>
      <c r="I522" s="19" t="s">
        <v>40</v>
      </c>
      <c r="J522" s="19"/>
      <c r="K522" s="19"/>
      <c r="U522" s="7" t="str">
        <f>IF($V$22&gt;(D509-1),CONCATENATE(U521,H521,H522,H523,V521,V521,W521,X521),"")</f>
        <v/>
      </c>
      <c r="AG522" s="45" t="str">
        <f t="shared" si="67"/>
        <v/>
      </c>
    </row>
    <row r="523" spans="1:33" hidden="1" x14ac:dyDescent="0.25">
      <c r="A523" s="13"/>
      <c r="B523" s="8"/>
      <c r="C523" s="8"/>
      <c r="D523" s="8"/>
      <c r="E523" s="19">
        <f>E522+$M$13</f>
        <v>21450</v>
      </c>
      <c r="F523" s="19"/>
      <c r="G523" s="19">
        <f>G522</f>
        <v>-225</v>
      </c>
      <c r="H523" s="19" t="str">
        <f t="shared" si="82"/>
        <v xml:space="preserve"> (list 21450 -225 )</v>
      </c>
      <c r="I523" s="19" t="s">
        <v>41</v>
      </c>
      <c r="J523" s="19"/>
      <c r="K523" s="19"/>
      <c r="U523" s="1" t="s">
        <v>82</v>
      </c>
      <c r="X523" s="1" t="s">
        <v>7</v>
      </c>
    </row>
    <row r="524" spans="1:33" hidden="1" x14ac:dyDescent="0.25">
      <c r="A524" s="13"/>
      <c r="B524" s="8"/>
      <c r="C524" s="8"/>
      <c r="D524" s="8"/>
      <c r="E524" s="20">
        <f>$B$7+$H$7/2+B519+C520/2</f>
        <v>18500</v>
      </c>
      <c r="F524" s="20"/>
      <c r="G524" s="20">
        <f>$C$7-$C$12</f>
        <v>-500</v>
      </c>
      <c r="H524" s="20" t="str">
        <f t="shared" si="82"/>
        <v xml:space="preserve"> (list 18500 -500 )</v>
      </c>
      <c r="I524" s="20" t="s">
        <v>33</v>
      </c>
      <c r="J524" s="20"/>
      <c r="K524" s="20"/>
      <c r="U524" s="9" t="str">
        <f>IF($V$22&gt;(D509-1),CONCATENATE(U523,H524,H525,H526,X523),"")</f>
        <v/>
      </c>
      <c r="AG524" s="45" t="str">
        <f t="shared" si="67"/>
        <v/>
      </c>
    </row>
    <row r="525" spans="1:33" hidden="1" x14ac:dyDescent="0.25">
      <c r="A525" s="13"/>
      <c r="B525" s="8"/>
      <c r="C525" s="8"/>
      <c r="D525" s="8"/>
      <c r="E525" s="20">
        <f>$B$7+$H$7/2+B520-C521/2</f>
        <v>24000</v>
      </c>
      <c r="F525" s="20"/>
      <c r="G525" s="20">
        <f>$C$7-$C$12</f>
        <v>-500</v>
      </c>
      <c r="H525" s="20" t="str">
        <f t="shared" si="82"/>
        <v xml:space="preserve"> (list 24000 -500 )</v>
      </c>
      <c r="I525" s="20" t="s">
        <v>34</v>
      </c>
      <c r="J525" s="20"/>
      <c r="K525" s="20"/>
      <c r="U525" s="1" t="s">
        <v>86</v>
      </c>
      <c r="V525" s="1" t="s">
        <v>27</v>
      </c>
      <c r="W525" s="1" t="s">
        <v>29</v>
      </c>
      <c r="X525" s="1" t="s">
        <v>28</v>
      </c>
      <c r="AA525" s="1" t="s">
        <v>30</v>
      </c>
      <c r="AB525" s="1" t="s">
        <v>31</v>
      </c>
    </row>
    <row r="526" spans="1:33" hidden="1" x14ac:dyDescent="0.25">
      <c r="A526" s="66" t="s">
        <v>29</v>
      </c>
      <c r="B526" s="8"/>
      <c r="C526" s="8"/>
      <c r="D526" s="8"/>
      <c r="E526" s="20">
        <f>E525</f>
        <v>24000</v>
      </c>
      <c r="F526" s="20"/>
      <c r="G526" s="20">
        <f>G525</f>
        <v>-500</v>
      </c>
      <c r="H526" s="20" t="str">
        <f t="shared" si="82"/>
        <v xml:space="preserve"> (list 24000 -500 )</v>
      </c>
      <c r="I526" s="20" t="s">
        <v>35</v>
      </c>
      <c r="J526" s="20"/>
      <c r="K526" s="20"/>
      <c r="U526" s="9" t="str">
        <f>IF($V$22&gt;(D509-1),CONCATENATE(U525,AA525,AB525,H527," ",V525,$M$15,V525,X525,W525,X523),"")</f>
        <v/>
      </c>
      <c r="AG526" s="45" t="str">
        <f t="shared" si="67"/>
        <v/>
      </c>
    </row>
    <row r="527" spans="1:33" hidden="1" x14ac:dyDescent="0.25">
      <c r="A527" s="13"/>
      <c r="B527" s="8"/>
      <c r="C527" s="8"/>
      <c r="D527" s="8"/>
      <c r="E527" s="20">
        <f>(E524+E525)/2</f>
        <v>21250</v>
      </c>
      <c r="F527" s="20"/>
      <c r="G527" s="20">
        <f>G526+$C$14</f>
        <v>-425</v>
      </c>
      <c r="H527" s="20" t="str">
        <f t="shared" si="82"/>
        <v xml:space="preserve"> (list 21250 -425 )</v>
      </c>
      <c r="I527" s="20" t="s">
        <v>117</v>
      </c>
      <c r="J527" s="20"/>
      <c r="K527" s="20"/>
    </row>
    <row r="528" spans="1:33" hidden="1" x14ac:dyDescent="0.25">
      <c r="A528" s="13"/>
      <c r="B528" s="8"/>
      <c r="C528" s="8"/>
      <c r="D528" s="8"/>
      <c r="E528" s="17">
        <f>E524+$C$15</f>
        <v>19000</v>
      </c>
      <c r="F528" s="17"/>
      <c r="G528" s="17">
        <f>G518+$C$14/2</f>
        <v>412.5</v>
      </c>
      <c r="H528" s="17" t="str">
        <f t="shared" si="82"/>
        <v xml:space="preserve"> (list 19000 412.5 )</v>
      </c>
      <c r="I528" s="17" t="s">
        <v>42</v>
      </c>
      <c r="J528" s="17"/>
      <c r="K528" s="17"/>
      <c r="U528" s="1" t="s">
        <v>79</v>
      </c>
      <c r="V528" s="1" t="s">
        <v>15</v>
      </c>
    </row>
    <row r="529" spans="1:33" hidden="1" x14ac:dyDescent="0.25">
      <c r="A529" s="13"/>
      <c r="B529" s="8"/>
      <c r="C529" s="8"/>
      <c r="D529" s="8"/>
      <c r="E529" s="17">
        <f>E524+$C$15</f>
        <v>19000</v>
      </c>
      <c r="F529" s="17"/>
      <c r="G529" s="17">
        <f>G521-$C$14/2</f>
        <v>37.5</v>
      </c>
      <c r="H529" s="17" t="str">
        <f t="shared" si="82"/>
        <v xml:space="preserve"> (list 19000 37.5 )</v>
      </c>
      <c r="I529" s="17" t="s">
        <v>43</v>
      </c>
      <c r="J529" s="17"/>
      <c r="K529" s="17"/>
      <c r="U529" s="10" t="str">
        <f>IF($V$22&gt;(D509-1),CONCATENATE($U$159,H528,H529,V528),"")</f>
        <v/>
      </c>
      <c r="AG529" s="45" t="str">
        <f t="shared" si="67"/>
        <v/>
      </c>
    </row>
    <row r="530" spans="1:33" hidden="1" x14ac:dyDescent="0.25">
      <c r="A530" s="13"/>
      <c r="B530" s="8"/>
      <c r="C530" s="8"/>
      <c r="D530" s="8"/>
      <c r="E530" s="17">
        <f>E528+200</f>
        <v>19200</v>
      </c>
      <c r="F530" s="17"/>
      <c r="G530" s="17">
        <f>G528</f>
        <v>412.5</v>
      </c>
      <c r="H530" s="17" t="str">
        <f t="shared" si="82"/>
        <v xml:space="preserve"> (list 19200 412.5 )</v>
      </c>
      <c r="I530" s="17" t="s">
        <v>44</v>
      </c>
      <c r="J530" s="17"/>
      <c r="K530" s="17"/>
      <c r="U530" s="10" t="str">
        <f>IF($V$22&gt;(D509-1),CONCATENATE($U$159,H530,H531,V528),"")</f>
        <v/>
      </c>
      <c r="AG530" s="45" t="str">
        <f t="shared" si="67"/>
        <v/>
      </c>
    </row>
    <row r="531" spans="1:33" hidden="1" x14ac:dyDescent="0.25">
      <c r="A531" s="13"/>
      <c r="B531" s="8"/>
      <c r="C531" s="8"/>
      <c r="D531" s="8"/>
      <c r="E531" s="17">
        <f>E529+200</f>
        <v>19200</v>
      </c>
      <c r="F531" s="17"/>
      <c r="G531" s="17">
        <f>G529</f>
        <v>37.5</v>
      </c>
      <c r="H531" s="17" t="str">
        <f t="shared" si="82"/>
        <v xml:space="preserve"> (list 19200 37.5 )</v>
      </c>
      <c r="I531" s="17" t="s">
        <v>45</v>
      </c>
      <c r="J531" s="17"/>
      <c r="K531" s="17"/>
    </row>
    <row r="532" spans="1:33" hidden="1" x14ac:dyDescent="0.25">
      <c r="A532" s="13"/>
      <c r="B532" s="8"/>
      <c r="C532" s="8"/>
      <c r="D532" s="8"/>
      <c r="E532" s="21" t="s">
        <v>21</v>
      </c>
      <c r="F532" s="21"/>
      <c r="G532" s="8"/>
      <c r="H532" s="8"/>
      <c r="I532" s="8"/>
      <c r="J532" s="8"/>
      <c r="K532" s="8"/>
      <c r="U532" s="1" t="s">
        <v>86</v>
      </c>
      <c r="V532" s="1" t="s">
        <v>27</v>
      </c>
      <c r="W532" s="1" t="s">
        <v>63</v>
      </c>
      <c r="X532" s="1" t="s">
        <v>28</v>
      </c>
      <c r="AA532" s="1" t="s">
        <v>30</v>
      </c>
      <c r="AB532" s="1" t="s">
        <v>32</v>
      </c>
    </row>
    <row r="533" spans="1:33" hidden="1" x14ac:dyDescent="0.25">
      <c r="A533" s="8" t="s">
        <v>62</v>
      </c>
      <c r="B533" s="8" t="s">
        <v>115</v>
      </c>
      <c r="C533" s="8"/>
      <c r="D533" s="8"/>
      <c r="E533" s="8">
        <f>E520+50</f>
        <v>21500</v>
      </c>
      <c r="F533" s="8"/>
      <c r="G533" s="8">
        <f>G520</f>
        <v>675</v>
      </c>
      <c r="H533" s="17" t="str">
        <f t="shared" ref="H533:H534" si="83">CONCATENATE(" (list ",E533," ",G533," ",")")</f>
        <v xml:space="preserve"> (list 21500 675 )</v>
      </c>
      <c r="I533" s="8" t="s">
        <v>113</v>
      </c>
      <c r="J533" s="8"/>
      <c r="K533" s="8"/>
      <c r="U533" s="6" t="str">
        <f>IF($V$22&gt;(D509-1),CONCATENATE(U532,AA532,AB532,H533," ",V532,$M$15,V532,X532,A533,X533),"")</f>
        <v/>
      </c>
      <c r="V533" s="1" t="s">
        <v>22</v>
      </c>
      <c r="W533" s="5" t="s">
        <v>23</v>
      </c>
      <c r="X533" s="1" t="s">
        <v>7</v>
      </c>
      <c r="AG533" s="45" t="str">
        <f t="shared" si="67"/>
        <v/>
      </c>
    </row>
    <row r="534" spans="1:33" hidden="1" x14ac:dyDescent="0.25">
      <c r="A534" s="8" t="s">
        <v>62</v>
      </c>
      <c r="B534" s="8" t="s">
        <v>116</v>
      </c>
      <c r="C534" s="8"/>
      <c r="D534" s="8"/>
      <c r="E534" s="8">
        <f>E523+50</f>
        <v>21500</v>
      </c>
      <c r="F534" s="8"/>
      <c r="G534" s="8">
        <f>G523</f>
        <v>-225</v>
      </c>
      <c r="H534" s="17" t="str">
        <f t="shared" si="83"/>
        <v xml:space="preserve"> (list 21500 -225 )</v>
      </c>
      <c r="I534" s="8" t="s">
        <v>114</v>
      </c>
      <c r="J534" s="8"/>
      <c r="K534" s="8"/>
      <c r="U534" s="6" t="str">
        <f>IF($V$22&gt;(D509-1),CONCATENATE(U532,AA532,AB532,H534," ",V532,$M$15,V532,X532,A534,X533),"")</f>
        <v/>
      </c>
      <c r="AD534" s="43"/>
      <c r="AG534" s="45" t="str">
        <f t="shared" si="67"/>
        <v/>
      </c>
    </row>
    <row r="535" spans="1:33" hidden="1" x14ac:dyDescent="0.25">
      <c r="A535" s="6"/>
      <c r="B535" s="6"/>
      <c r="C535" s="6"/>
      <c r="D535" s="6"/>
      <c r="E535" s="6"/>
      <c r="F535" s="6"/>
      <c r="G535" s="6"/>
      <c r="H535" s="102"/>
      <c r="I535" s="6"/>
      <c r="J535" s="6"/>
      <c r="K535" s="6"/>
      <c r="U535" s="6"/>
      <c r="AD535" s="43"/>
    </row>
    <row r="536" spans="1:33" ht="15" hidden="1" customHeight="1" x14ac:dyDescent="0.25">
      <c r="A536" s="91" t="s">
        <v>118</v>
      </c>
      <c r="B536" s="91">
        <f>$E$16</f>
        <v>0</v>
      </c>
      <c r="C536" s="8"/>
      <c r="D536" s="127" t="s">
        <v>131</v>
      </c>
      <c r="E536" s="8"/>
      <c r="F536" s="8"/>
      <c r="G536" s="8"/>
      <c r="H536" s="8"/>
      <c r="I536" s="8"/>
      <c r="J536" s="8"/>
      <c r="K536" s="8"/>
      <c r="U536" s="1" t="s">
        <v>81</v>
      </c>
      <c r="V536" s="1" t="s">
        <v>15</v>
      </c>
      <c r="AG536" s="90"/>
    </row>
    <row r="537" spans="1:33" ht="15" hidden="1" customHeight="1" x14ac:dyDescent="0.25">
      <c r="A537" s="91" t="s">
        <v>95</v>
      </c>
      <c r="B537" s="91">
        <f>B536/10</f>
        <v>0</v>
      </c>
      <c r="C537" s="8"/>
      <c r="D537" s="127"/>
      <c r="E537" s="92">
        <f>$B$7+$H$7/2+$G$15+$H$16/2+B537</f>
        <v>250</v>
      </c>
      <c r="F537" s="92"/>
      <c r="G537" s="92">
        <f>$G$78</f>
        <v>150</v>
      </c>
      <c r="H537" s="92" t="str">
        <f t="shared" ref="H537:H540" si="84">CONCATENATE(" (list ",E537," ",G537," ",")")</f>
        <v xml:space="preserve"> (list 250 150 )</v>
      </c>
      <c r="I537" s="92" t="s">
        <v>97</v>
      </c>
      <c r="J537" s="8"/>
      <c r="K537" s="8"/>
      <c r="U537" s="7" t="str">
        <f>CONCATENATE(U536,$M$10,V536)</f>
        <v>(command "color" 2 "")</v>
      </c>
      <c r="AG537" s="90" t="str">
        <f t="shared" ref="AG537" si="85">U537</f>
        <v>(command "color" 2 "")</v>
      </c>
    </row>
    <row r="538" spans="1:33" hidden="1" x14ac:dyDescent="0.25">
      <c r="A538" s="91" t="s">
        <v>96</v>
      </c>
      <c r="B538" s="91">
        <f>FLOOR(B536/3,1)</f>
        <v>0</v>
      </c>
      <c r="C538" s="8"/>
      <c r="D538" s="127"/>
      <c r="E538" s="92">
        <f>$B$7+$H$7/2+$G$16-$H$17/2-B537</f>
        <v>250</v>
      </c>
      <c r="F538" s="92"/>
      <c r="G538" s="92">
        <f>G537</f>
        <v>150</v>
      </c>
      <c r="H538" s="92" t="str">
        <f t="shared" si="84"/>
        <v xml:space="preserve"> (list 250 150 )</v>
      </c>
      <c r="I538" s="92" t="s">
        <v>98</v>
      </c>
      <c r="J538" s="8"/>
      <c r="K538" s="8"/>
      <c r="U538" s="1" t="s">
        <v>79</v>
      </c>
      <c r="V538" s="1" t="s">
        <v>15</v>
      </c>
      <c r="AG538" s="90"/>
    </row>
    <row r="539" spans="1:33" hidden="1" x14ac:dyDescent="0.25">
      <c r="A539" s="91" t="s">
        <v>103</v>
      </c>
      <c r="B539" s="91">
        <f>E538-E537</f>
        <v>0</v>
      </c>
      <c r="C539" s="8"/>
      <c r="D539" s="127"/>
      <c r="E539" s="20">
        <f>$B$7+$H$7/2+$G$15</f>
        <v>250</v>
      </c>
      <c r="F539" s="20"/>
      <c r="G539" s="20">
        <f>$G$82</f>
        <v>300</v>
      </c>
      <c r="H539" s="20" t="str">
        <f t="shared" si="84"/>
        <v xml:space="preserve"> (list 250 300 )</v>
      </c>
      <c r="I539" s="20" t="s">
        <v>100</v>
      </c>
      <c r="J539" s="8" t="s">
        <v>129</v>
      </c>
      <c r="K539" s="8"/>
      <c r="U539" s="62" t="str">
        <f>IF($V$22&gt;(D509-1),IF($I$8="Y",CONCATENATE($U$79,H537,H538,$V$79),""),"")</f>
        <v/>
      </c>
      <c r="AG539" s="90" t="str">
        <f t="shared" ref="AG539:AG541" si="86">U539</f>
        <v/>
      </c>
    </row>
    <row r="540" spans="1:33" hidden="1" x14ac:dyDescent="0.25">
      <c r="A540" s="91"/>
      <c r="B540" s="91"/>
      <c r="C540" s="8"/>
      <c r="D540" s="127"/>
      <c r="E540" s="20">
        <f>E539+B538</f>
        <v>250</v>
      </c>
      <c r="F540" s="20"/>
      <c r="G540" s="20">
        <f>G539</f>
        <v>300</v>
      </c>
      <c r="H540" s="20" t="str">
        <f t="shared" si="84"/>
        <v xml:space="preserve"> (list 250 300 )</v>
      </c>
      <c r="I540" s="20" t="s">
        <v>99</v>
      </c>
      <c r="J540" s="8"/>
      <c r="K540" s="8"/>
      <c r="U540" s="62" t="str">
        <f>IF($V$22&gt;(D509-1),IF($F$9="Y",CONCATENATE($U$79,H539,H540,$V$79),""),"")</f>
        <v/>
      </c>
      <c r="AG540" s="90" t="str">
        <f t="shared" si="86"/>
        <v/>
      </c>
    </row>
    <row r="541" spans="1:33" hidden="1" x14ac:dyDescent="0.25">
      <c r="A541" s="91"/>
      <c r="B541" s="91"/>
      <c r="C541" s="8"/>
      <c r="D541" s="127"/>
      <c r="E541" s="92">
        <f>E539+B536</f>
        <v>250</v>
      </c>
      <c r="F541" s="92"/>
      <c r="G541" s="92">
        <f>G540</f>
        <v>300</v>
      </c>
      <c r="H541" s="92" t="str">
        <f>CONCATENATE(" (list ",E541," ",G541," ",")")</f>
        <v xml:space="preserve"> (list 250 300 )</v>
      </c>
      <c r="I541" s="92" t="s">
        <v>132</v>
      </c>
      <c r="J541" s="8" t="s">
        <v>130</v>
      </c>
      <c r="K541" s="8"/>
      <c r="U541" s="62" t="str">
        <f>IF($V$22&gt;(D509-1),IF($F$10="Y",CONCATENATE($U$79,H541,H542,$V$79),""),"")</f>
        <v/>
      </c>
      <c r="AG541" s="90" t="str">
        <f t="shared" si="86"/>
        <v/>
      </c>
    </row>
    <row r="542" spans="1:33" hidden="1" x14ac:dyDescent="0.25">
      <c r="A542" s="91"/>
      <c r="B542" s="91"/>
      <c r="C542" s="8"/>
      <c r="D542" s="127"/>
      <c r="E542" s="92">
        <f>E541-B538</f>
        <v>250</v>
      </c>
      <c r="F542" s="92"/>
      <c r="G542" s="92">
        <f>G540</f>
        <v>300</v>
      </c>
      <c r="H542" s="92" t="str">
        <f>CONCATENATE(" (list ",E542," ",G542," ",")")</f>
        <v xml:space="preserve"> (list 250 300 )</v>
      </c>
      <c r="I542" s="92" t="s">
        <v>133</v>
      </c>
      <c r="J542" s="8"/>
      <c r="K542" s="8"/>
      <c r="U542" s="1" t="s">
        <v>81</v>
      </c>
      <c r="V542" s="1" t="s">
        <v>15</v>
      </c>
      <c r="AG542" s="90"/>
    </row>
    <row r="543" spans="1:33" hidden="1" x14ac:dyDescent="0.25">
      <c r="A543" s="100" t="s">
        <v>107</v>
      </c>
      <c r="B543" s="100"/>
      <c r="C543" s="17"/>
      <c r="D543" s="127"/>
      <c r="E543" s="93">
        <f>FLOOR(B539*2/3,1)+E537</f>
        <v>250</v>
      </c>
      <c r="F543" s="93"/>
      <c r="G543" s="93">
        <f>G538</f>
        <v>150</v>
      </c>
      <c r="H543" s="93" t="str">
        <f t="shared" ref="H543:H550" si="87">CONCATENATE(" (list ",E543," ",G543," ",")")</f>
        <v xml:space="preserve"> (list 250 150 )</v>
      </c>
      <c r="I543" s="93" t="s">
        <v>104</v>
      </c>
      <c r="J543" s="94"/>
      <c r="K543" s="95"/>
      <c r="U543" s="62" t="str">
        <f>CONCATENATE(U542,$M$11,V542)</f>
        <v>(command "color" 3 "")</v>
      </c>
      <c r="AG543" s="90" t="str">
        <f t="shared" ref="AG543" si="88">U543</f>
        <v>(command "color" 3 "")</v>
      </c>
    </row>
    <row r="544" spans="1:33" hidden="1" x14ac:dyDescent="0.25">
      <c r="A544" s="100" t="s">
        <v>108</v>
      </c>
      <c r="B544" s="100">
        <v>150</v>
      </c>
      <c r="C544" s="17"/>
      <c r="D544" s="127"/>
      <c r="E544" s="93">
        <f>E543+B544</f>
        <v>400</v>
      </c>
      <c r="F544" s="93"/>
      <c r="G544" s="93">
        <f>G543+B545</f>
        <v>300</v>
      </c>
      <c r="H544" s="93" t="str">
        <f t="shared" si="87"/>
        <v xml:space="preserve"> (list 400 300 )</v>
      </c>
      <c r="I544" s="93" t="s">
        <v>105</v>
      </c>
      <c r="J544" s="94"/>
      <c r="K544" s="95"/>
      <c r="U544" s="1" t="s">
        <v>84</v>
      </c>
      <c r="V544" s="1" t="s">
        <v>22</v>
      </c>
      <c r="W544" s="5" t="s">
        <v>23</v>
      </c>
      <c r="X544" s="1" t="s">
        <v>7</v>
      </c>
      <c r="AG544" s="90"/>
    </row>
    <row r="545" spans="1:33" hidden="1" x14ac:dyDescent="0.25">
      <c r="A545" s="100" t="s">
        <v>109</v>
      </c>
      <c r="B545" s="100">
        <v>150</v>
      </c>
      <c r="C545" s="17"/>
      <c r="D545" s="127"/>
      <c r="E545" s="93">
        <f>E544</f>
        <v>400</v>
      </c>
      <c r="F545" s="93"/>
      <c r="G545" s="93">
        <f>G523</f>
        <v>-225</v>
      </c>
      <c r="H545" s="93" t="str">
        <f t="shared" si="87"/>
        <v xml:space="preserve"> (list 400 -225 )</v>
      </c>
      <c r="I545" s="93" t="s">
        <v>106</v>
      </c>
      <c r="J545" s="94"/>
      <c r="K545" s="95"/>
      <c r="U545" s="62" t="str">
        <f>IF($V$22&gt;(D509-1),IF($F$8="Y",(CONCATENATE(U544,H543,H544,H545,H546,V544,V544,W544,X544)),""),"")</f>
        <v/>
      </c>
      <c r="AG545" s="90" t="str">
        <f>U545</f>
        <v/>
      </c>
    </row>
    <row r="546" spans="1:33" hidden="1" x14ac:dyDescent="0.25">
      <c r="A546" s="100"/>
      <c r="B546" s="100"/>
      <c r="C546" s="17"/>
      <c r="D546" s="127"/>
      <c r="E546" s="93">
        <f>E545+$M$13</f>
        <v>600</v>
      </c>
      <c r="F546" s="93"/>
      <c r="G546" s="93">
        <f>G545</f>
        <v>-225</v>
      </c>
      <c r="H546" s="93" t="str">
        <f t="shared" si="87"/>
        <v xml:space="preserve"> (list 600 -225 )</v>
      </c>
      <c r="I546" s="93" t="s">
        <v>110</v>
      </c>
      <c r="J546" s="94"/>
      <c r="K546" s="95"/>
      <c r="U546" s="1" t="s">
        <v>81</v>
      </c>
      <c r="V546" s="1" t="s">
        <v>15</v>
      </c>
      <c r="AG546" s="90"/>
    </row>
    <row r="547" spans="1:33" hidden="1" x14ac:dyDescent="0.25">
      <c r="A547" s="100"/>
      <c r="B547" s="100"/>
      <c r="C547" s="17"/>
      <c r="D547" s="127"/>
      <c r="E547" s="94">
        <f>E540-3*B544</f>
        <v>-200</v>
      </c>
      <c r="F547" s="94"/>
      <c r="G547" s="94">
        <f>G542</f>
        <v>300</v>
      </c>
      <c r="H547" s="94" t="str">
        <f t="shared" si="87"/>
        <v xml:space="preserve"> (list -200 300 )</v>
      </c>
      <c r="I547" s="94" t="s">
        <v>122</v>
      </c>
      <c r="J547" s="96"/>
      <c r="K547" s="95"/>
      <c r="U547" s="62" t="str">
        <f>CONCATENATE(U546,$M$11,V546)</f>
        <v>(command "color" 3 "")</v>
      </c>
      <c r="AG547" s="90" t="str">
        <f>U547</f>
        <v>(command "color" 3 "")</v>
      </c>
    </row>
    <row r="548" spans="1:33" hidden="1" x14ac:dyDescent="0.25">
      <c r="A548" s="100"/>
      <c r="B548" s="100"/>
      <c r="C548" s="17"/>
      <c r="D548" s="127"/>
      <c r="E548" s="94">
        <f>E547+B544</f>
        <v>-50</v>
      </c>
      <c r="F548" s="94"/>
      <c r="G548" s="94">
        <f>G547-B545</f>
        <v>150</v>
      </c>
      <c r="H548" s="94" t="str">
        <f t="shared" si="87"/>
        <v xml:space="preserve"> (list -50 150 )</v>
      </c>
      <c r="I548" s="94" t="s">
        <v>123</v>
      </c>
      <c r="J548" s="96"/>
      <c r="K548" s="95"/>
      <c r="U548" s="1" t="s">
        <v>84</v>
      </c>
      <c r="V548" s="1" t="s">
        <v>22</v>
      </c>
      <c r="W548" s="5" t="s">
        <v>23</v>
      </c>
      <c r="X548" s="1" t="s">
        <v>7</v>
      </c>
      <c r="AG548" s="90"/>
    </row>
    <row r="549" spans="1:33" hidden="1" x14ac:dyDescent="0.25">
      <c r="A549" s="100"/>
      <c r="B549" s="100"/>
      <c r="C549" s="17"/>
      <c r="D549" s="127"/>
      <c r="E549" s="94">
        <f>E548</f>
        <v>-50</v>
      </c>
      <c r="F549" s="94"/>
      <c r="G549" s="94">
        <f>G520</f>
        <v>675</v>
      </c>
      <c r="H549" s="94" t="str">
        <f t="shared" si="87"/>
        <v xml:space="preserve"> (list -50 675 )</v>
      </c>
      <c r="I549" s="94" t="s">
        <v>124</v>
      </c>
      <c r="J549" s="96"/>
      <c r="K549" s="95"/>
      <c r="U549" s="62" t="str">
        <f>IF($V$22&gt;(D509-1),IF($I$8="Y",(CONCATENATE(U548,H547,H548,H549,H550,V548,V548,W548,X548)),""),"")</f>
        <v/>
      </c>
      <c r="AG549" s="90" t="str">
        <f>U549</f>
        <v/>
      </c>
    </row>
    <row r="550" spans="1:33" hidden="1" x14ac:dyDescent="0.25">
      <c r="A550" s="100"/>
      <c r="B550" s="100"/>
      <c r="C550" s="17"/>
      <c r="D550" s="127"/>
      <c r="E550" s="94">
        <f>E549+$M$13</f>
        <v>150</v>
      </c>
      <c r="F550" s="94"/>
      <c r="G550" s="94">
        <f>G549</f>
        <v>675</v>
      </c>
      <c r="H550" s="94" t="str">
        <f t="shared" si="87"/>
        <v xml:space="preserve"> (list 150 675 )</v>
      </c>
      <c r="I550" s="94" t="s">
        <v>125</v>
      </c>
      <c r="J550" s="96"/>
      <c r="K550" s="95"/>
      <c r="U550" s="1" t="s">
        <v>86</v>
      </c>
      <c r="V550" s="1" t="s">
        <v>27</v>
      </c>
      <c r="X550" s="1" t="s">
        <v>28</v>
      </c>
      <c r="Y550" s="1" t="s">
        <v>19</v>
      </c>
      <c r="AG550" s="90"/>
    </row>
    <row r="551" spans="1:33" hidden="1" x14ac:dyDescent="0.25">
      <c r="A551" s="100" t="s">
        <v>62</v>
      </c>
      <c r="B551" s="100" t="s">
        <v>127</v>
      </c>
      <c r="C551" s="17"/>
      <c r="D551" s="127"/>
      <c r="E551" s="93">
        <f>E546+25</f>
        <v>625</v>
      </c>
      <c r="F551" s="93"/>
      <c r="G551" s="93">
        <f>G546-$M$15/2</f>
        <v>-275</v>
      </c>
      <c r="H551" s="93" t="str">
        <f>CONCATENATE(" (list ",E551," ",G551," ",")")</f>
        <v xml:space="preserve"> (list 625 -275 )</v>
      </c>
      <c r="I551" s="93" t="s">
        <v>119</v>
      </c>
      <c r="J551" s="94"/>
      <c r="K551" s="95"/>
      <c r="U551" s="62" t="str">
        <f>IF($V$22&gt;(D509-1),IF($F$8="Y",CONCATENATE($U$90,H551," ",$V$90,M482,$V$90,$X$90,A551,$Y$90),""),"")</f>
        <v/>
      </c>
      <c r="AG551" s="90" t="str">
        <f>U551</f>
        <v/>
      </c>
    </row>
    <row r="552" spans="1:33" hidden="1" x14ac:dyDescent="0.25">
      <c r="A552" s="100" t="s">
        <v>62</v>
      </c>
      <c r="B552" s="100" t="s">
        <v>126</v>
      </c>
      <c r="C552" s="17"/>
      <c r="D552" s="127"/>
      <c r="E552" s="97">
        <f>E550+25</f>
        <v>175</v>
      </c>
      <c r="F552" s="97"/>
      <c r="G552" s="97">
        <f>G550-$M$15/2</f>
        <v>625</v>
      </c>
      <c r="H552" s="97" t="str">
        <f>CONCATENATE(" (list ",E552," ",G552," ",")")</f>
        <v xml:space="preserve"> (list 175 625 )</v>
      </c>
      <c r="I552" s="97" t="s">
        <v>120</v>
      </c>
      <c r="J552" s="98"/>
      <c r="K552" s="99"/>
      <c r="U552" s="62" t="str">
        <f>IF($V$22&gt;(D509-1),IF($I$8="Y",CONCATENATE(U550,H552," ",V550,M482,V550,X550,A552,Y550),""),"")</f>
        <v/>
      </c>
      <c r="AG552" s="90" t="str">
        <f>U552</f>
        <v/>
      </c>
    </row>
    <row r="553" spans="1:33" hidden="1" x14ac:dyDescent="0.25">
      <c r="A553" s="8"/>
      <c r="B553" s="8"/>
      <c r="C553" s="8"/>
      <c r="D553" s="8"/>
      <c r="E553" s="8"/>
      <c r="F553" s="8"/>
      <c r="G553" s="8"/>
      <c r="H553" s="17"/>
      <c r="I553" s="8"/>
      <c r="J553" s="8"/>
      <c r="K553" s="8"/>
      <c r="U553" s="35"/>
      <c r="AD553" s="43"/>
    </row>
    <row r="554" spans="1:33" hidden="1" x14ac:dyDescent="0.25"/>
    <row r="555" spans="1:33" hidden="1" x14ac:dyDescent="0.25"/>
    <row r="556" spans="1:33" hidden="1" x14ac:dyDescent="0.25"/>
    <row r="557" spans="1:33" hidden="1" x14ac:dyDescent="0.25">
      <c r="A557" s="67" t="s">
        <v>121</v>
      </c>
      <c r="B557" s="8"/>
      <c r="C557" s="8"/>
      <c r="D557" s="8"/>
      <c r="E557" s="21" t="s">
        <v>21</v>
      </c>
      <c r="F557" s="21"/>
      <c r="G557" s="8"/>
      <c r="H557" s="8"/>
      <c r="I557" s="8"/>
      <c r="J557" s="8"/>
      <c r="K557" s="8"/>
      <c r="U557" s="1" t="s">
        <v>86</v>
      </c>
      <c r="V557" s="1" t="s">
        <v>27</v>
      </c>
      <c r="W557" s="1" t="s">
        <v>74</v>
      </c>
      <c r="X557" s="1" t="s">
        <v>28</v>
      </c>
      <c r="AA557" s="1" t="s">
        <v>30</v>
      </c>
      <c r="AB557" s="1" t="s">
        <v>32</v>
      </c>
    </row>
    <row r="558" spans="1:33" hidden="1" x14ac:dyDescent="0.25">
      <c r="A558" s="13"/>
      <c r="B558" s="8"/>
      <c r="C558" s="8"/>
      <c r="D558" s="8"/>
      <c r="E558" s="8">
        <f>B7</f>
        <v>0</v>
      </c>
      <c r="F558" s="8"/>
      <c r="G558" s="8">
        <f>C7-C12-500</f>
        <v>-1000</v>
      </c>
      <c r="H558" s="17" t="str">
        <f t="shared" ref="H558" si="89">CONCATENATE(" (list ",E558," ",G558," ",")")</f>
        <v xml:space="preserve"> (list 0 -1000 )</v>
      </c>
      <c r="I558" s="8"/>
      <c r="J558" s="8"/>
      <c r="K558" s="8"/>
      <c r="U558" s="6" t="str">
        <f>CONCATENATE(U557,AA557,AB557,H558," ",V557,$M$16,V557,X557,W557,X558)</f>
        <v>(command "text" "j" "ML" (list 0 -1000 ) "150" "0" "%%uBEAM (230 X 450)")</v>
      </c>
      <c r="V558" s="1" t="s">
        <v>22</v>
      </c>
      <c r="W558" s="5" t="s">
        <v>23</v>
      </c>
      <c r="X558" s="1" t="s">
        <v>7</v>
      </c>
      <c r="AG558" s="45" t="str">
        <f t="shared" si="67"/>
        <v>(command "text" "j" "ML" (list 0 -1000 ) "150" "0" "%%uBEAM (230 X 450)")</v>
      </c>
    </row>
    <row r="559" spans="1:33" hidden="1" x14ac:dyDescent="0.25"/>
    <row r="560" spans="1:33" hidden="1" x14ac:dyDescent="0.25">
      <c r="AG560" s="45" t="s">
        <v>78</v>
      </c>
    </row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</sheetData>
  <sheetProtection selectLockedCells="1"/>
  <mergeCells count="19">
    <mergeCell ref="B6:C6"/>
    <mergeCell ref="B9:C9"/>
    <mergeCell ref="B34:B64"/>
    <mergeCell ref="J80:J82"/>
    <mergeCell ref="J96:K98"/>
    <mergeCell ref="J94:K95"/>
    <mergeCell ref="D4:E4"/>
    <mergeCell ref="D78:D82"/>
    <mergeCell ref="D35:D38"/>
    <mergeCell ref="D39:D42"/>
    <mergeCell ref="D167:D183"/>
    <mergeCell ref="D398:D414"/>
    <mergeCell ref="D444:D460"/>
    <mergeCell ref="D490:D506"/>
    <mergeCell ref="D536:D552"/>
    <mergeCell ref="D213:D229"/>
    <mergeCell ref="D259:D275"/>
    <mergeCell ref="D306:D322"/>
    <mergeCell ref="D352:D368"/>
  </mergeCells>
  <conditionalFormatting sqref="E8 H9:H10">
    <cfRule type="expression" dxfId="1" priority="58">
      <formula>$V$22&gt;1</formula>
    </cfRule>
  </conditionalFormatting>
  <conditionalFormatting sqref="P4 E9:E10">
    <cfRule type="expression" dxfId="0" priority="60">
      <formula>$V$22&gt;2</formula>
    </cfRule>
  </conditionalFormatting>
  <dataValidations disablePrompts="1" count="2">
    <dataValidation type="list" allowBlank="1" showInputMessage="1" showErrorMessage="1" sqref="F7:F11 I13:I17 I7:I11 F13:F17" xr:uid="{00000000-0002-0000-0000-000000000000}">
      <formula1>"Y, N"</formula1>
    </dataValidation>
    <dataValidation type="list" showInputMessage="1" showErrorMessage="1" sqref="F12 I12" xr:uid="{00000000-0002-0000-0000-000001000000}">
      <formula1>"Y, 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eam1">
                <anchor moveWithCells="1" sizeWithCells="1">
                  <from>
                    <xdr:col>7</xdr:col>
                    <xdr:colOff>971550</xdr:colOff>
                    <xdr:row>3</xdr:row>
                    <xdr:rowOff>19050</xdr:rowOff>
                  </from>
                  <to>
                    <xdr:col>9</xdr:col>
                    <xdr:colOff>266700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Lisp cad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2014-11-28T11:49:03Z</dcterms:created>
  <dcterms:modified xsi:type="dcterms:W3CDTF">2018-10-11T09:16:40Z</dcterms:modified>
</cp:coreProperties>
</file>